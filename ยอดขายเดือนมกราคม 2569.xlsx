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/Users/appleclub/Documents/In put/ยอดขาย 2026/"/>
    </mc:Choice>
  </mc:AlternateContent>
  <xr:revisionPtr revIDLastSave="0" documentId="13_ncr:1_{6A7D85A9-1656-4D47-B6F3-C6A03C2D0CA6}" xr6:coauthVersionLast="47" xr6:coauthVersionMax="47" xr10:uidLastSave="{00000000-0000-0000-0000-000000000000}"/>
  <bookViews>
    <workbookView xWindow="0" yWindow="600" windowWidth="25600" windowHeight="14260" activeTab="3" xr2:uid="{8931555F-816B-F84D-885D-4269E85FD78A}"/>
  </bookViews>
  <sheets>
    <sheet name="ยอดขายปีที่แล้ว" sheetId="31" r:id="rId1"/>
    <sheet name="ยอดขายเดือนที่เแล้ว" sheetId="34" r:id="rId2"/>
    <sheet name="ยอดขายปัจจุบัน" sheetId="3" r:id="rId3"/>
    <sheet name="Report" sheetId="1" r:id="rId4"/>
    <sheet name="Target ปี 2025" sheetId="56" r:id="rId5"/>
  </sheets>
  <definedNames>
    <definedName name="_xlnm._FilterDatabase" localSheetId="2" hidden="1">ยอดขายปัจจุบัน!$A$2:$E$52</definedName>
    <definedName name="_xlnm._FilterDatabase" localSheetId="3" hidden="1">Report!$C$43:$D$56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" l="1" a="1"/>
  <c r="G4" i="3" s="1"/>
  <c r="G5" i="3" a="1"/>
  <c r="G5" i="3" s="1"/>
  <c r="G6" i="3" a="1"/>
  <c r="G6" i="3" s="1"/>
  <c r="G7" i="3" a="1"/>
  <c r="G7" i="3" s="1"/>
  <c r="G8" i="3" a="1"/>
  <c r="G8" i="3" s="1"/>
  <c r="G9" i="3" a="1"/>
  <c r="G9" i="3" s="1"/>
  <c r="G10" i="3" a="1"/>
  <c r="G10" i="3" s="1"/>
  <c r="G11" i="3" a="1"/>
  <c r="G11" i="3" s="1"/>
  <c r="G12" i="3" a="1"/>
  <c r="G12" i="3" s="1"/>
  <c r="G13" i="3" a="1"/>
  <c r="G13" i="3" s="1"/>
  <c r="G14" i="3" a="1"/>
  <c r="G14" i="3" s="1"/>
  <c r="G15" i="3" a="1"/>
  <c r="G15" i="3" s="1"/>
  <c r="G16" i="3" a="1"/>
  <c r="G16" i="3" s="1"/>
  <c r="G17" i="3" a="1"/>
  <c r="G17" i="3" s="1"/>
  <c r="G18" i="3" a="1"/>
  <c r="G18" i="3" s="1"/>
  <c r="G19" i="3" a="1"/>
  <c r="G19" i="3" s="1"/>
  <c r="G20" i="3" a="1"/>
  <c r="G20" i="3" s="1"/>
  <c r="G21" i="3" a="1"/>
  <c r="G21" i="3" s="1"/>
  <c r="I4" i="3"/>
  <c r="AB21" i="1"/>
  <c r="AA21" i="1"/>
  <c r="I13" i="3" l="1"/>
  <c r="I14" i="3"/>
  <c r="I15" i="3"/>
  <c r="I16" i="3"/>
  <c r="I17" i="3"/>
  <c r="I18" i="3"/>
  <c r="I19" i="3"/>
  <c r="I20" i="3"/>
  <c r="I21" i="3"/>
  <c r="I5" i="3"/>
  <c r="I6" i="3"/>
  <c r="I7" i="3"/>
  <c r="I8" i="3"/>
  <c r="I9" i="3"/>
  <c r="I10" i="3"/>
  <c r="I11" i="3"/>
  <c r="I12" i="3"/>
  <c r="AD21" i="1"/>
  <c r="F21" i="1"/>
  <c r="E21" i="1"/>
  <c r="F20" i="1"/>
  <c r="E20" i="1"/>
  <c r="AO4" i="1" l="1"/>
  <c r="AP4" i="1"/>
  <c r="AO5" i="1"/>
  <c r="AP5" i="1"/>
  <c r="AO6" i="1"/>
  <c r="AP6" i="1"/>
  <c r="AO7" i="1"/>
  <c r="AP7" i="1"/>
  <c r="AO8" i="1"/>
  <c r="AP8" i="1"/>
  <c r="AO9" i="1"/>
  <c r="AP9" i="1"/>
  <c r="AO11" i="1"/>
  <c r="AP11" i="1"/>
  <c r="AO12" i="1"/>
  <c r="AP12" i="1"/>
  <c r="AO13" i="1"/>
  <c r="AP13" i="1"/>
  <c r="AO14" i="1"/>
  <c r="AP14" i="1"/>
  <c r="AO15" i="1"/>
  <c r="AP15" i="1"/>
  <c r="AO16" i="1"/>
  <c r="AP16" i="1"/>
  <c r="AO17" i="1"/>
  <c r="AP17" i="1"/>
  <c r="AO18" i="1"/>
  <c r="AP18" i="1"/>
  <c r="AO19" i="1"/>
  <c r="AP19" i="1"/>
  <c r="AO20" i="1"/>
  <c r="AP20" i="1"/>
  <c r="AO21" i="1"/>
  <c r="AP21" i="1"/>
  <c r="AP3" i="1"/>
  <c r="AO3" i="1"/>
  <c r="C52" i="1" l="1"/>
  <c r="C53" i="1"/>
  <c r="C54" i="1"/>
  <c r="C55" i="1"/>
  <c r="C56" i="1"/>
  <c r="C57" i="1"/>
  <c r="C58" i="1"/>
  <c r="C59" i="1"/>
  <c r="C45" i="1"/>
  <c r="C48" i="1"/>
  <c r="C49" i="1"/>
  <c r="C50" i="1"/>
  <c r="C44" i="1"/>
  <c r="AE19" i="1" l="1"/>
  <c r="AF19" i="1" s="1"/>
  <c r="B12" i="1" l="1"/>
  <c r="B13" i="1"/>
  <c r="AS12" i="1"/>
  <c r="AS13" i="1"/>
  <c r="AS14" i="1"/>
  <c r="AS15" i="1"/>
  <c r="AS16" i="1"/>
  <c r="AS17" i="1"/>
  <c r="AS18" i="1"/>
  <c r="AS19" i="1"/>
  <c r="AS11" i="1"/>
  <c r="AS4" i="1"/>
  <c r="AS5" i="1"/>
  <c r="AS6" i="1"/>
  <c r="AS7" i="1"/>
  <c r="AS8" i="1"/>
  <c r="AS9" i="1"/>
  <c r="AS3" i="1"/>
  <c r="Z15" i="1"/>
  <c r="Z16" i="1"/>
  <c r="Z17" i="1"/>
  <c r="AA17" i="1" s="1"/>
  <c r="Z18" i="1"/>
  <c r="AA18" i="1" s="1"/>
  <c r="Z19" i="1"/>
  <c r="AA19" i="1" s="1"/>
  <c r="AK20" i="1"/>
  <c r="AK21" i="1"/>
  <c r="AJ21" i="1"/>
  <c r="AJ20" i="1"/>
  <c r="C12" i="1"/>
  <c r="D12" i="1" s="1"/>
  <c r="E12" i="1"/>
  <c r="G12" i="1"/>
  <c r="Z12" i="1"/>
  <c r="AA12" i="1" s="1"/>
  <c r="AE12" i="1"/>
  <c r="AF12" i="1" s="1"/>
  <c r="AE13" i="1"/>
  <c r="AF13" i="1" s="1"/>
  <c r="C13" i="1"/>
  <c r="D13" i="1" s="1"/>
  <c r="E13" i="1"/>
  <c r="G13" i="1"/>
  <c r="Z13" i="1"/>
  <c r="AA13" i="1" s="1"/>
  <c r="AE17" i="1"/>
  <c r="AF17" i="1" s="1"/>
  <c r="AE18" i="1"/>
  <c r="AF18" i="1" s="1"/>
  <c r="G17" i="1"/>
  <c r="G18" i="1"/>
  <c r="G19" i="1"/>
  <c r="E17" i="1"/>
  <c r="E18" i="1"/>
  <c r="E19" i="1"/>
  <c r="C17" i="1"/>
  <c r="B17" i="1" s="1"/>
  <c r="C18" i="1"/>
  <c r="B18" i="1" s="1"/>
  <c r="C19" i="1"/>
  <c r="B19" i="1" s="1"/>
  <c r="F13" i="1" l="1"/>
  <c r="AG13" i="1" s="1"/>
  <c r="D53" i="1"/>
  <c r="F18" i="1"/>
  <c r="AU18" i="1" s="1"/>
  <c r="AV18" i="1" s="1"/>
  <c r="AY18" i="1" s="1"/>
  <c r="D58" i="1"/>
  <c r="Y17" i="1"/>
  <c r="D57" i="1"/>
  <c r="Y19" i="1"/>
  <c r="D59" i="1"/>
  <c r="Q12" i="1"/>
  <c r="R12" i="1" s="1"/>
  <c r="D52" i="1"/>
  <c r="AT13" i="1"/>
  <c r="AT12" i="1"/>
  <c r="AT19" i="1"/>
  <c r="S12" i="1"/>
  <c r="AT18" i="1"/>
  <c r="AT17" i="1"/>
  <c r="AH13" i="1"/>
  <c r="AI13" i="1"/>
  <c r="H12" i="1"/>
  <c r="J12" i="1" s="1"/>
  <c r="Y12" i="1"/>
  <c r="F12" i="1"/>
  <c r="AU12" i="1" s="1"/>
  <c r="AV12" i="1" s="1"/>
  <c r="AB13" i="1"/>
  <c r="AD13" i="1" s="1"/>
  <c r="L13" i="1"/>
  <c r="T13" i="1"/>
  <c r="H13" i="1"/>
  <c r="J13" i="1" s="1"/>
  <c r="Y13" i="1"/>
  <c r="Q13" i="1"/>
  <c r="R13" i="1" s="1"/>
  <c r="S13" i="1" s="1"/>
  <c r="V13" i="1"/>
  <c r="N13" i="1"/>
  <c r="H18" i="1"/>
  <c r="J18" i="1" s="1"/>
  <c r="D19" i="1"/>
  <c r="D18" i="1"/>
  <c r="D17" i="1"/>
  <c r="V18" i="1"/>
  <c r="H17" i="1"/>
  <c r="J17" i="1" s="1"/>
  <c r="AB18" i="1"/>
  <c r="AD18" i="1" s="1"/>
  <c r="Y18" i="1"/>
  <c r="Q18" i="1"/>
  <c r="R18" i="1" s="1"/>
  <c r="S18" i="1" s="1"/>
  <c r="F17" i="1"/>
  <c r="AU17" i="1" s="1"/>
  <c r="AV17" i="1" s="1"/>
  <c r="Q19" i="1"/>
  <c r="R19" i="1" s="1"/>
  <c r="S19" i="1" s="1"/>
  <c r="Q17" i="1"/>
  <c r="R17" i="1" s="1"/>
  <c r="S17" i="1" s="1"/>
  <c r="T18" i="1"/>
  <c r="H19" i="1"/>
  <c r="J19" i="1" s="1"/>
  <c r="N18" i="1"/>
  <c r="F19" i="1"/>
  <c r="AU19" i="1" s="1"/>
  <c r="AV19" i="1" s="1"/>
  <c r="AU13" i="1" l="1"/>
  <c r="AV13" i="1" s="1"/>
  <c r="L18" i="1"/>
  <c r="AG18" i="1"/>
  <c r="AH18" i="1" s="1"/>
  <c r="V12" i="1"/>
  <c r="T12" i="1"/>
  <c r="N12" i="1"/>
  <c r="AY13" i="1"/>
  <c r="AY17" i="1"/>
  <c r="AI18" i="1"/>
  <c r="AY19" i="1"/>
  <c r="AY12" i="1"/>
  <c r="AB12" i="1"/>
  <c r="L12" i="1"/>
  <c r="AG12" i="1"/>
  <c r="AC13" i="1"/>
  <c r="AB17" i="1"/>
  <c r="N17" i="1"/>
  <c r="AG17" i="1"/>
  <c r="T17" i="1"/>
  <c r="L17" i="1"/>
  <c r="V17" i="1"/>
  <c r="N19" i="1"/>
  <c r="L19" i="1"/>
  <c r="AB19" i="1"/>
  <c r="T19" i="1"/>
  <c r="V19" i="1"/>
  <c r="AG19" i="1"/>
  <c r="AC18" i="1"/>
  <c r="E36" i="1"/>
  <c r="AW18" i="1" s="1"/>
  <c r="AX18" i="1" s="1"/>
  <c r="C3" i="1"/>
  <c r="C4" i="1"/>
  <c r="AT4" i="1" s="1"/>
  <c r="C5" i="1"/>
  <c r="C6" i="1"/>
  <c r="C7" i="1"/>
  <c r="AT7" i="1" s="1"/>
  <c r="C8" i="1"/>
  <c r="AT8" i="1" s="1"/>
  <c r="C9" i="1"/>
  <c r="AT9" i="1" s="1"/>
  <c r="C11" i="1"/>
  <c r="C14" i="1"/>
  <c r="AT14" i="1" s="1"/>
  <c r="C15" i="1"/>
  <c r="AT15" i="1" s="1"/>
  <c r="C16" i="1"/>
  <c r="AT16" i="1" s="1"/>
  <c r="AT11" i="1" l="1"/>
  <c r="C51" i="1"/>
  <c r="AT6" i="1"/>
  <c r="C47" i="1"/>
  <c r="AT5" i="1"/>
  <c r="C46" i="1"/>
  <c r="C21" i="1"/>
  <c r="C20" i="1"/>
  <c r="AZ19" i="1"/>
  <c r="BA19" i="1" s="1"/>
  <c r="AT3" i="1"/>
  <c r="AW17" i="1"/>
  <c r="AX17" i="1" s="1"/>
  <c r="AW12" i="1"/>
  <c r="AX12" i="1" s="1"/>
  <c r="AW13" i="1"/>
  <c r="AX13" i="1" s="1"/>
  <c r="AZ13" i="1"/>
  <c r="BA13" i="1" s="1"/>
  <c r="AZ17" i="1"/>
  <c r="BA17" i="1" s="1"/>
  <c r="AZ12" i="1"/>
  <c r="BA12" i="1" s="1"/>
  <c r="AW19" i="1"/>
  <c r="AX19" i="1" s="1"/>
  <c r="AZ18" i="1"/>
  <c r="BA18" i="1" s="1"/>
  <c r="AI19" i="1"/>
  <c r="AH19" i="1"/>
  <c r="AI12" i="1"/>
  <c r="AH12" i="1"/>
  <c r="AH17" i="1"/>
  <c r="AI17" i="1"/>
  <c r="K13" i="1"/>
  <c r="K12" i="1"/>
  <c r="P12" i="1"/>
  <c r="O12" i="1"/>
  <c r="W12" i="1"/>
  <c r="U12" i="1"/>
  <c r="AD12" i="1"/>
  <c r="AC12" i="1"/>
  <c r="P13" i="1"/>
  <c r="O13" i="1"/>
  <c r="W13" i="1"/>
  <c r="U13" i="1"/>
  <c r="U19" i="1"/>
  <c r="U17" i="1"/>
  <c r="K17" i="1"/>
  <c r="K18" i="1"/>
  <c r="K19" i="1"/>
  <c r="P18" i="1"/>
  <c r="O18" i="1"/>
  <c r="B16" i="1"/>
  <c r="W17" i="1"/>
  <c r="W18" i="1"/>
  <c r="W19" i="1"/>
  <c r="U18" i="1"/>
  <c r="P19" i="1"/>
  <c r="O19" i="1"/>
  <c r="O17" i="1"/>
  <c r="P17" i="1"/>
  <c r="AD19" i="1"/>
  <c r="AC19" i="1"/>
  <c r="AC17" i="1"/>
  <c r="AD17" i="1"/>
  <c r="AA16" i="1" l="1"/>
  <c r="AE16" i="1"/>
  <c r="AF16" i="1" s="1"/>
  <c r="E16" i="1"/>
  <c r="D56" i="1" s="1"/>
  <c r="G16" i="1"/>
  <c r="H16" i="1" l="1"/>
  <c r="J16" i="1" s="1"/>
  <c r="Q16" i="1"/>
  <c r="R16" i="1" s="1"/>
  <c r="S16" i="1" s="1"/>
  <c r="D16" i="1"/>
  <c r="F16" i="1"/>
  <c r="AU16" i="1" s="1"/>
  <c r="AV16" i="1" s="1"/>
  <c r="AY16" i="1" l="1"/>
  <c r="AZ16" i="1" s="1"/>
  <c r="BA16" i="1" s="1"/>
  <c r="AW16" i="1"/>
  <c r="AX16" i="1" s="1"/>
  <c r="L16" i="1"/>
  <c r="T16" i="1"/>
  <c r="V16" i="1"/>
  <c r="N16" i="1"/>
  <c r="AB16" i="1"/>
  <c r="AD16" i="1" s="1"/>
  <c r="AG16" i="1"/>
  <c r="AH16" i="1" l="1"/>
  <c r="AI16" i="1"/>
  <c r="AC16" i="1"/>
  <c r="P16" i="1" l="1"/>
  <c r="W16" i="1"/>
  <c r="U16" i="1"/>
  <c r="K16" i="1"/>
  <c r="O16" i="1"/>
  <c r="AN20" i="1"/>
  <c r="AM21" i="1" l="1"/>
  <c r="AM20" i="1"/>
  <c r="AL20" i="1" l="1"/>
  <c r="AT20" i="1" l="1"/>
  <c r="AE4" i="1"/>
  <c r="AF4" i="1" s="1"/>
  <c r="Z4" i="1"/>
  <c r="AA4" i="1" s="1"/>
  <c r="G4" i="1"/>
  <c r="E4" i="1"/>
  <c r="D45" i="1" s="1"/>
  <c r="D4" i="1"/>
  <c r="B4" i="1"/>
  <c r="AE3" i="1"/>
  <c r="AF3" i="1" s="1"/>
  <c r="Z3" i="1"/>
  <c r="AA3" i="1" s="1"/>
  <c r="G3" i="1"/>
  <c r="E3" i="1"/>
  <c r="D44" i="1" s="1"/>
  <c r="D3" i="1"/>
  <c r="B3" i="1"/>
  <c r="F4" i="1" l="1"/>
  <c r="AU4" i="1" s="1"/>
  <c r="Q4" i="1"/>
  <c r="R4" i="1" s="1"/>
  <c r="S4" i="1" s="1"/>
  <c r="H4" i="1"/>
  <c r="J4" i="1" s="1"/>
  <c r="F3" i="1"/>
  <c r="AU3" i="1" s="1"/>
  <c r="Q3" i="1"/>
  <c r="R3" i="1" s="1"/>
  <c r="S3" i="1" s="1"/>
  <c r="H3" i="1"/>
  <c r="J3" i="1" s="1"/>
  <c r="L3" i="1" l="1"/>
  <c r="L4" i="1"/>
  <c r="AV3" i="1"/>
  <c r="AV4" i="1"/>
  <c r="AB4" i="1"/>
  <c r="T4" i="1"/>
  <c r="AG4" i="1"/>
  <c r="V4" i="1"/>
  <c r="N4" i="1"/>
  <c r="T3" i="1"/>
  <c r="AB3" i="1"/>
  <c r="AG3" i="1"/>
  <c r="V3" i="1"/>
  <c r="N3" i="1"/>
  <c r="AE9" i="1"/>
  <c r="AF9" i="1" s="1"/>
  <c r="Z9" i="1"/>
  <c r="AA9" i="1" s="1"/>
  <c r="G9" i="1"/>
  <c r="E9" i="1"/>
  <c r="D50" i="1" s="1"/>
  <c r="D9" i="1"/>
  <c r="B9" i="1"/>
  <c r="AE8" i="1"/>
  <c r="AF8" i="1" s="1"/>
  <c r="Z8" i="1"/>
  <c r="AA8" i="1" s="1"/>
  <c r="G8" i="1"/>
  <c r="E8" i="1"/>
  <c r="D49" i="1" s="1"/>
  <c r="D8" i="1"/>
  <c r="B8" i="1"/>
  <c r="AE7" i="1"/>
  <c r="AF7" i="1" s="1"/>
  <c r="Z7" i="1"/>
  <c r="AA7" i="1" s="1"/>
  <c r="G7" i="1"/>
  <c r="E7" i="1"/>
  <c r="D48" i="1" s="1"/>
  <c r="D7" i="1"/>
  <c r="B7" i="1"/>
  <c r="AE6" i="1"/>
  <c r="AF6" i="1" s="1"/>
  <c r="Z6" i="1"/>
  <c r="AA6" i="1" s="1"/>
  <c r="G6" i="1"/>
  <c r="E6" i="1"/>
  <c r="D47" i="1" s="1"/>
  <c r="D6" i="1"/>
  <c r="B6" i="1"/>
  <c r="AE5" i="1"/>
  <c r="AF5" i="1" s="1"/>
  <c r="Z5" i="1"/>
  <c r="AA5" i="1" s="1"/>
  <c r="G5" i="1"/>
  <c r="E5" i="1"/>
  <c r="D46" i="1" s="1"/>
  <c r="D5" i="1"/>
  <c r="B5" i="1"/>
  <c r="AI3" i="1" l="1"/>
  <c r="AH3" i="1"/>
  <c r="AH4" i="1"/>
  <c r="AI4" i="1"/>
  <c r="AA20" i="1"/>
  <c r="AF20" i="1"/>
  <c r="Z20" i="1"/>
  <c r="AE20" i="1"/>
  <c r="AW4" i="1"/>
  <c r="AX4" i="1" s="1"/>
  <c r="AY4" i="1"/>
  <c r="AZ4" i="1" s="1"/>
  <c r="BA4" i="1" s="1"/>
  <c r="AW3" i="1"/>
  <c r="AX3" i="1" s="1"/>
  <c r="AY3" i="1"/>
  <c r="AZ3" i="1" s="1"/>
  <c r="BA3" i="1" s="1"/>
  <c r="W4" i="1"/>
  <c r="U4" i="1"/>
  <c r="K3" i="1"/>
  <c r="K4" i="1"/>
  <c r="AC4" i="1"/>
  <c r="AD4" i="1"/>
  <c r="P4" i="1"/>
  <c r="O4" i="1"/>
  <c r="W3" i="1"/>
  <c r="U3" i="1"/>
  <c r="P3" i="1"/>
  <c r="O3" i="1"/>
  <c r="AC3" i="1"/>
  <c r="AD3" i="1"/>
  <c r="K5" i="1"/>
  <c r="K6" i="1"/>
  <c r="K8" i="1"/>
  <c r="K9" i="1"/>
  <c r="H7" i="1"/>
  <c r="J7" i="1" s="1"/>
  <c r="H6" i="1"/>
  <c r="J6" i="1" s="1"/>
  <c r="F9" i="1"/>
  <c r="AU9" i="1" s="1"/>
  <c r="Q9" i="1"/>
  <c r="R9" i="1" s="1"/>
  <c r="S9" i="1" s="1"/>
  <c r="H9" i="1"/>
  <c r="J9" i="1" s="1"/>
  <c r="F7" i="1"/>
  <c r="AU7" i="1" s="1"/>
  <c r="Q7" i="1"/>
  <c r="R7" i="1" s="1"/>
  <c r="S7" i="1" s="1"/>
  <c r="F8" i="1"/>
  <c r="AU8" i="1" s="1"/>
  <c r="Q8" i="1"/>
  <c r="R8" i="1" s="1"/>
  <c r="S8" i="1" s="1"/>
  <c r="K7" i="1"/>
  <c r="H8" i="1"/>
  <c r="J8" i="1" s="1"/>
  <c r="F6" i="1"/>
  <c r="AU6" i="1" s="1"/>
  <c r="Q6" i="1"/>
  <c r="R6" i="1" s="1"/>
  <c r="S6" i="1" s="1"/>
  <c r="F5" i="1"/>
  <c r="AU5" i="1" s="1"/>
  <c r="Q5" i="1"/>
  <c r="R5" i="1" s="1"/>
  <c r="S5" i="1" s="1"/>
  <c r="H5" i="1"/>
  <c r="J5" i="1" s="1"/>
  <c r="L6" i="1" l="1"/>
  <c r="L5" i="1"/>
  <c r="L7" i="1"/>
  <c r="L9" i="1"/>
  <c r="L8" i="1"/>
  <c r="AB7" i="1"/>
  <c r="AV5" i="1"/>
  <c r="AV7" i="1"/>
  <c r="AV6" i="1"/>
  <c r="AV9" i="1"/>
  <c r="AV8" i="1"/>
  <c r="Q20" i="1"/>
  <c r="AB9" i="1"/>
  <c r="T9" i="1"/>
  <c r="U9" i="1" s="1"/>
  <c r="AG9" i="1"/>
  <c r="V9" i="1"/>
  <c r="W9" i="1" s="1"/>
  <c r="N9" i="1"/>
  <c r="AB8" i="1"/>
  <c r="T8" i="1"/>
  <c r="U8" i="1" s="1"/>
  <c r="AG8" i="1"/>
  <c r="V8" i="1"/>
  <c r="W8" i="1" s="1"/>
  <c r="N8" i="1"/>
  <c r="V7" i="1"/>
  <c r="W7" i="1" s="1"/>
  <c r="N7" i="1"/>
  <c r="T7" i="1"/>
  <c r="U7" i="1" s="1"/>
  <c r="AG7" i="1"/>
  <c r="V6" i="1"/>
  <c r="W6" i="1" s="1"/>
  <c r="AB6" i="1"/>
  <c r="T6" i="1"/>
  <c r="U6" i="1" s="1"/>
  <c r="AG6" i="1"/>
  <c r="N6" i="1"/>
  <c r="N5" i="1"/>
  <c r="AB5" i="1"/>
  <c r="T5" i="1"/>
  <c r="U5" i="1" s="1"/>
  <c r="AG5" i="1"/>
  <c r="V5" i="1"/>
  <c r="W5" i="1" s="1"/>
  <c r="AH8" i="1" l="1"/>
  <c r="AI8" i="1"/>
  <c r="AH9" i="1"/>
  <c r="AI9" i="1"/>
  <c r="AI5" i="1"/>
  <c r="AH5" i="1"/>
  <c r="AH7" i="1"/>
  <c r="AI7" i="1"/>
  <c r="AH6" i="1"/>
  <c r="AI6" i="1"/>
  <c r="AG20" i="1"/>
  <c r="AB20" i="1"/>
  <c r="AD20" i="1" s="1"/>
  <c r="AW7" i="1"/>
  <c r="AX7" i="1" s="1"/>
  <c r="AY7" i="1"/>
  <c r="AZ7" i="1" s="1"/>
  <c r="BA7" i="1" s="1"/>
  <c r="AW9" i="1"/>
  <c r="AX9" i="1" s="1"/>
  <c r="AY9" i="1"/>
  <c r="AZ9" i="1" s="1"/>
  <c r="BA9" i="1" s="1"/>
  <c r="AW8" i="1"/>
  <c r="AX8" i="1" s="1"/>
  <c r="AY8" i="1"/>
  <c r="AZ8" i="1" s="1"/>
  <c r="BA8" i="1" s="1"/>
  <c r="AW5" i="1"/>
  <c r="AX5" i="1" s="1"/>
  <c r="AY5" i="1"/>
  <c r="AZ5" i="1" s="1"/>
  <c r="BA5" i="1" s="1"/>
  <c r="AW6" i="1"/>
  <c r="AX6" i="1" s="1"/>
  <c r="AY6" i="1"/>
  <c r="AZ6" i="1" s="1"/>
  <c r="BA6" i="1" s="1"/>
  <c r="W20" i="1"/>
  <c r="V20" i="1"/>
  <c r="U20" i="1"/>
  <c r="T20" i="1"/>
  <c r="S20" i="1"/>
  <c r="R20" i="1"/>
  <c r="AC9" i="1"/>
  <c r="AD9" i="1"/>
  <c r="P9" i="1"/>
  <c r="O9" i="1"/>
  <c r="P8" i="1"/>
  <c r="O8" i="1"/>
  <c r="P7" i="1"/>
  <c r="O7" i="1"/>
  <c r="AD7" i="1"/>
  <c r="AC7" i="1"/>
  <c r="AC8" i="1"/>
  <c r="AD8" i="1"/>
  <c r="P6" i="1"/>
  <c r="O6" i="1"/>
  <c r="AC6" i="1"/>
  <c r="AD6" i="1"/>
  <c r="AC5" i="1"/>
  <c r="AD5" i="1"/>
  <c r="P5" i="1"/>
  <c r="O5" i="1"/>
  <c r="AH20" i="1" l="1"/>
  <c r="AI20" i="1"/>
  <c r="AC20" i="1"/>
  <c r="Y16" i="1"/>
  <c r="Y3" i="1"/>
  <c r="Y20" i="1" s="1"/>
  <c r="Y4" i="1"/>
  <c r="Y5" i="1"/>
  <c r="Y7" i="1"/>
  <c r="Y8" i="1"/>
  <c r="Y6" i="1"/>
  <c r="Y9" i="1"/>
  <c r="AE14" i="1" l="1"/>
  <c r="AE11" i="1"/>
  <c r="AE15" i="1"/>
  <c r="Z14" i="1"/>
  <c r="AA14" i="1" s="1"/>
  <c r="Z11" i="1"/>
  <c r="AA15" i="1"/>
  <c r="G14" i="1"/>
  <c r="G11" i="1"/>
  <c r="G15" i="1"/>
  <c r="E14" i="1"/>
  <c r="D54" i="1" s="1"/>
  <c r="E11" i="1"/>
  <c r="D51" i="1" s="1"/>
  <c r="E15" i="1"/>
  <c r="D55" i="1" s="1"/>
  <c r="Z21" i="1" l="1"/>
  <c r="AE21" i="1"/>
  <c r="G20" i="1"/>
  <c r="G21" i="1"/>
  <c r="Q15" i="1"/>
  <c r="R15" i="1" s="1"/>
  <c r="S15" i="1" s="1"/>
  <c r="Q14" i="1"/>
  <c r="R14" i="1" s="1"/>
  <c r="S14" i="1" s="1"/>
  <c r="Q11" i="1"/>
  <c r="R11" i="1" s="1"/>
  <c r="S11" i="1" s="1"/>
  <c r="X13" i="1" l="1"/>
  <c r="X12" i="1"/>
  <c r="X18" i="1"/>
  <c r="X17" i="1"/>
  <c r="X19" i="1"/>
  <c r="H20" i="1"/>
  <c r="J20" i="1" s="1"/>
  <c r="X16" i="1"/>
  <c r="X3" i="1"/>
  <c r="X4" i="1"/>
  <c r="X20" i="1"/>
  <c r="K20" i="1"/>
  <c r="AN21" i="1" l="1"/>
  <c r="B15" i="1" l="1"/>
  <c r="AA11" i="1" l="1"/>
  <c r="AF15" i="1"/>
  <c r="AF14" i="1"/>
  <c r="AF11" i="1"/>
  <c r="AF21" i="1" l="1"/>
  <c r="AL21" i="1"/>
  <c r="D14" i="1" l="1"/>
  <c r="D11" i="1"/>
  <c r="D15" i="1"/>
  <c r="B14" i="1"/>
  <c r="B11" i="1"/>
  <c r="D20" i="1" l="1"/>
  <c r="B21" i="1"/>
  <c r="K14" i="1"/>
  <c r="H11" i="1"/>
  <c r="J11" i="1" s="1"/>
  <c r="K15" i="1"/>
  <c r="F11" i="1"/>
  <c r="AU11" i="1" s="1"/>
  <c r="Y14" i="1"/>
  <c r="Y15" i="1"/>
  <c r="Y11" i="1"/>
  <c r="K11" i="1"/>
  <c r="H15" i="1"/>
  <c r="J15" i="1" s="1"/>
  <c r="F15" i="1"/>
  <c r="AU15" i="1" s="1"/>
  <c r="AV15" i="1" s="1"/>
  <c r="AY15" i="1" l="1"/>
  <c r="AZ15" i="1" s="1"/>
  <c r="BA15" i="1" s="1"/>
  <c r="AW15" i="1"/>
  <c r="AX15" i="1" s="1"/>
  <c r="L11" i="1"/>
  <c r="L15" i="1"/>
  <c r="AG15" i="1"/>
  <c r="N15" i="1"/>
  <c r="AG11" i="1"/>
  <c r="N11" i="1"/>
  <c r="AB15" i="1"/>
  <c r="AD15" i="1" s="1"/>
  <c r="T15" i="1"/>
  <c r="U15" i="1" s="1"/>
  <c r="V15" i="1"/>
  <c r="W15" i="1" s="1"/>
  <c r="T11" i="1"/>
  <c r="U11" i="1" s="1"/>
  <c r="V11" i="1"/>
  <c r="W11" i="1" s="1"/>
  <c r="AB11" i="1"/>
  <c r="AH15" i="1" l="1"/>
  <c r="AI15" i="1"/>
  <c r="AH11" i="1"/>
  <c r="AI11" i="1"/>
  <c r="AV11" i="1"/>
  <c r="AC15" i="1"/>
  <c r="AC11" i="1"/>
  <c r="AD11" i="1"/>
  <c r="P15" i="1"/>
  <c r="O15" i="1"/>
  <c r="P11" i="1"/>
  <c r="O11" i="1"/>
  <c r="AW11" i="1" l="1"/>
  <c r="AX11" i="1" s="1"/>
  <c r="AY11" i="1"/>
  <c r="AZ11" i="1" s="1"/>
  <c r="BA11" i="1" s="1"/>
  <c r="H14" i="1" l="1"/>
  <c r="J14" i="1" s="1"/>
  <c r="I26" i="1" l="1"/>
  <c r="J26" i="1" s="1"/>
  <c r="X9" i="1" l="1"/>
  <c r="X7" i="1"/>
  <c r="X8" i="1"/>
  <c r="X6" i="1"/>
  <c r="X5" i="1"/>
  <c r="Q21" i="1"/>
  <c r="R21" i="1" s="1"/>
  <c r="S21" i="1" s="1"/>
  <c r="X15" i="1"/>
  <c r="X11" i="1"/>
  <c r="X14" i="1"/>
  <c r="D21" i="1" l="1"/>
  <c r="X21" i="1" l="1"/>
  <c r="H21" i="1"/>
  <c r="Y21" i="1"/>
  <c r="J21" i="1" l="1"/>
  <c r="F14" i="1" l="1"/>
  <c r="AU14" i="1" s="1"/>
  <c r="AV14" i="1" s="1"/>
  <c r="AY14" i="1" l="1"/>
  <c r="AZ14" i="1" s="1"/>
  <c r="BA14" i="1" s="1"/>
  <c r="AW14" i="1"/>
  <c r="AX14" i="1" s="1"/>
  <c r="L14" i="1"/>
  <c r="C26" i="1"/>
  <c r="L20" i="1"/>
  <c r="AU20" i="1"/>
  <c r="AV20" i="1" s="1"/>
  <c r="AG14" i="1"/>
  <c r="N14" i="1"/>
  <c r="T14" i="1"/>
  <c r="U14" i="1" s="1"/>
  <c r="V14" i="1"/>
  <c r="W14" i="1" s="1"/>
  <c r="AB14" i="1"/>
  <c r="AG21" i="1" l="1"/>
  <c r="AH14" i="1"/>
  <c r="AI14" i="1"/>
  <c r="AD14" i="1"/>
  <c r="AW20" i="1"/>
  <c r="AW21" i="1" s="1"/>
  <c r="AY20" i="1"/>
  <c r="AZ20" i="1" s="1"/>
  <c r="N21" i="1"/>
  <c r="N20" i="1"/>
  <c r="P20" i="1" s="1"/>
  <c r="L21" i="1"/>
  <c r="AC21" i="1"/>
  <c r="AC14" i="1"/>
  <c r="O14" i="1"/>
  <c r="P14" i="1"/>
  <c r="AH21" i="1" l="1"/>
  <c r="AI21" i="1"/>
  <c r="AX20" i="1"/>
  <c r="BA20" i="1"/>
  <c r="O20" i="1"/>
  <c r="K21" i="1" l="1"/>
  <c r="V21" i="1" l="1"/>
  <c r="W21" i="1" s="1"/>
  <c r="T21" i="1"/>
  <c r="U21" i="1" s="1"/>
  <c r="E23" i="1" l="1"/>
  <c r="P21" i="1" l="1"/>
  <c r="O21" i="1"/>
  <c r="L23" i="1"/>
  <c r="F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<sst xmlns="http://schemas.openxmlformats.org/spreadsheetml/2006/main" count="1154" uniqueCount="465">
  <si>
    <t>สาขา</t>
  </si>
  <si>
    <t>Yuedpao สาขา SIAM SQUARE</t>
  </si>
  <si>
    <t>Yuedpao สาขา Fashion Island</t>
  </si>
  <si>
    <t>Yuedpao สาขา Central นครสวรรค์</t>
  </si>
  <si>
    <t>Yuedpao สาขา The Mall บางกะปิ</t>
  </si>
  <si>
    <t>Yuedpao สาขา Central เชียงราย</t>
  </si>
  <si>
    <t>Yuedpao สาขา BTS สยาม</t>
  </si>
  <si>
    <t>Yuedpao สาขา BTS หมอชิต</t>
  </si>
  <si>
    <t xml:space="preserve">TARGET </t>
  </si>
  <si>
    <t>TO DAY</t>
  </si>
  <si>
    <t>AVE SALE / INV</t>
  </si>
  <si>
    <t>SALE INV Standard</t>
  </si>
  <si>
    <t>DIFT</t>
  </si>
  <si>
    <t>AVE SALE / DAY</t>
  </si>
  <si>
    <t>% TARGET</t>
  </si>
  <si>
    <t>เปรียบเทียบรายปี</t>
  </si>
  <si>
    <t>เปรียบเทียบรายเดือน</t>
  </si>
  <si>
    <t xml:space="preserve">REMARK </t>
  </si>
  <si>
    <t>ก่อนหัก VAT</t>
  </si>
  <si>
    <t>หลังหัก VAT</t>
  </si>
  <si>
    <t>IVN.</t>
  </si>
  <si>
    <t>achieve 100%</t>
  </si>
  <si>
    <t>achieve 110%</t>
  </si>
  <si>
    <t>achieve 120%</t>
  </si>
  <si>
    <t>ขาดอีก</t>
  </si>
  <si>
    <t>ขาดอีก ต่อวัน</t>
  </si>
  <si>
    <t>วันคงเหลือ</t>
  </si>
  <si>
    <t>วันนี้</t>
  </si>
  <si>
    <t>คงเหลือ</t>
  </si>
  <si>
    <t xml:space="preserve">เปรียบเทียบรายสัปดาห์			</t>
  </si>
  <si>
    <t>ยอดขายรวมทั้งหมด</t>
  </si>
  <si>
    <t>แก้ไขตัวเลข</t>
  </si>
  <si>
    <t>MIX SALE ALL GROUP</t>
  </si>
  <si>
    <t>MIX SALE GROUP AREA</t>
  </si>
  <si>
    <t>NO</t>
  </si>
  <si>
    <t>TARGET</t>
  </si>
  <si>
    <t>Yuedpao สาขา จตุจักรโครงการ 22 ริมถนน</t>
  </si>
  <si>
    <t>Yuedpao สาขา จตุจักรโครงการ 28</t>
  </si>
  <si>
    <t>Yuedpao สาขา Central Festival เชียงใหม่</t>
  </si>
  <si>
    <t>Yuedpao สาขา Central เชียงใหม่แอร์พอร์ต</t>
  </si>
  <si>
    <t>Yuedpao สาขา Central รามอินทรา</t>
  </si>
  <si>
    <t>Yuedpao สาขา จตุจักรโครงการ 6</t>
  </si>
  <si>
    <t>คงเหลือ/วัน</t>
  </si>
  <si>
    <t>#</t>
  </si>
  <si>
    <t>คลัง|สาขา</t>
  </si>
  <si>
    <t>จำนวนรายการ</t>
  </si>
  <si>
    <t>ยอดขาย(บาท)</t>
  </si>
  <si>
    <t>ยอดขาย(%)</t>
  </si>
  <si>
    <t>2</t>
  </si>
  <si>
    <t>Yuedpao สาขา Future Park Rangsit ชั้น 3</t>
  </si>
  <si>
    <t>3</t>
  </si>
  <si>
    <t>Yuedpao สาขา Central พัทยา</t>
  </si>
  <si>
    <t>4</t>
  </si>
  <si>
    <t>Yuedpao สาขา Central ลาดพร้าว</t>
  </si>
  <si>
    <t>5</t>
  </si>
  <si>
    <t>6</t>
  </si>
  <si>
    <t>Yuedpao สาขา Central เวสต์เกต</t>
  </si>
  <si>
    <t>7</t>
  </si>
  <si>
    <t>Yuedpao สาขา Central ขอนแก่น</t>
  </si>
  <si>
    <t>Yuedpao สาขา Central ศาลายา</t>
  </si>
  <si>
    <t>9</t>
  </si>
  <si>
    <t>Yuedpao สาขา Central สุราษฎร์ธานี</t>
  </si>
  <si>
    <t>10</t>
  </si>
  <si>
    <t>Yuedpao สาขา Robinson บ่อวิน</t>
  </si>
  <si>
    <t>12</t>
  </si>
  <si>
    <t>Yuedpao สาขา Central หาดใหญ่</t>
  </si>
  <si>
    <t>13</t>
  </si>
  <si>
    <t>Yuedpao สาขา Central พระราม 2</t>
  </si>
  <si>
    <t>14</t>
  </si>
  <si>
    <t>Yuedpao สาขา Central พิษณุโลก</t>
  </si>
  <si>
    <t>16</t>
  </si>
  <si>
    <t>Yuedpao สาขา The Mall งามวงศ์วาน</t>
  </si>
  <si>
    <t>17</t>
  </si>
  <si>
    <t>Yuedpao สาขา Central จันทบุรี</t>
  </si>
  <si>
    <t>Yuedpao สาขา Future Park Rangsit (Flagship store)</t>
  </si>
  <si>
    <t>19</t>
  </si>
  <si>
    <t>Yuedpao สาขา Robinson ภูเก็ต</t>
  </si>
  <si>
    <t>20</t>
  </si>
  <si>
    <t>Yuedpao สาขา Central ระยอง</t>
  </si>
  <si>
    <t>21</t>
  </si>
  <si>
    <t>Yuedpao สาขา Central นครศรีธรรมราช</t>
  </si>
  <si>
    <t>23</t>
  </si>
  <si>
    <t>Yuedpao สาขา Central ปิ่นเกล้า</t>
  </si>
  <si>
    <t>24</t>
  </si>
  <si>
    <t>25</t>
  </si>
  <si>
    <t>Yuedpao สาขา The Mall บางแค</t>
  </si>
  <si>
    <t>26</t>
  </si>
  <si>
    <t>Yuedpao สาขา Central สมุย</t>
  </si>
  <si>
    <t>27</t>
  </si>
  <si>
    <t>Yuedpao สาขา Central ภูเก็ต</t>
  </si>
  <si>
    <t>28</t>
  </si>
  <si>
    <t>29</t>
  </si>
  <si>
    <t>Yuedpao สาขา Central อุดรธานี</t>
  </si>
  <si>
    <t>30</t>
  </si>
  <si>
    <t>Yuedpao สาขา Robinson ฉะเชิงเทรา</t>
  </si>
  <si>
    <t>31</t>
  </si>
  <si>
    <t>Yuedpao สาขา Central มหาชัย</t>
  </si>
  <si>
    <t>32</t>
  </si>
  <si>
    <t>Yuedpao สาขา Robinson สุพรรณบุรี</t>
  </si>
  <si>
    <t>34</t>
  </si>
  <si>
    <t>Yuedpao สาขา Central ลำปาง</t>
  </si>
  <si>
    <t>Yuedpao สาขา Central อยุธยา</t>
  </si>
  <si>
    <t>36</t>
  </si>
  <si>
    <t>Yuedpao สาขา Mega บางนา</t>
  </si>
  <si>
    <t>37</t>
  </si>
  <si>
    <t>Yuedpao สาขา Central พระราม 9</t>
  </si>
  <si>
    <t>38</t>
  </si>
  <si>
    <t>Yuedpao สาขา Central World</t>
  </si>
  <si>
    <t>39</t>
  </si>
  <si>
    <t>Yuedpao สาขา The Mall โคราช</t>
  </si>
  <si>
    <t>40</t>
  </si>
  <si>
    <t>Yuedpao สาขา Robinson ลพบุรี</t>
  </si>
  <si>
    <t>41</t>
  </si>
  <si>
    <t>42</t>
  </si>
  <si>
    <t>Yuedpao สาขา Central ชลบุรี</t>
  </si>
  <si>
    <t>43</t>
  </si>
  <si>
    <t>Yuedpao สาขา The Mall ท่าพระ</t>
  </si>
  <si>
    <t>44</t>
  </si>
  <si>
    <t>46</t>
  </si>
  <si>
    <t>Yuedpao สาขา Central พระราม 3</t>
  </si>
  <si>
    <t>47</t>
  </si>
  <si>
    <t>48</t>
  </si>
  <si>
    <t>Yuedpao สาขา Central ศรีราชา</t>
  </si>
  <si>
    <t>49</t>
  </si>
  <si>
    <t>50</t>
  </si>
  <si>
    <t>Yuedpao สาขา Robinson ราชพฤกษ์</t>
  </si>
  <si>
    <t>51</t>
  </si>
  <si>
    <t>Yuedpao สาขา Robinson บ้านฉาง</t>
  </si>
  <si>
    <t>52</t>
  </si>
  <si>
    <t>Yuedpao สาขา Central โคราช</t>
  </si>
  <si>
    <t>54</t>
  </si>
  <si>
    <t>55</t>
  </si>
  <si>
    <t>Yuedpao สาขา Robinson ฉลอง ภูเก็ต</t>
  </si>
  <si>
    <t>57</t>
  </si>
  <si>
    <t>59</t>
  </si>
  <si>
    <t>60</t>
  </si>
  <si>
    <t>61</t>
  </si>
  <si>
    <t>62</t>
  </si>
  <si>
    <t>64</t>
  </si>
  <si>
    <t>66</t>
  </si>
  <si>
    <t>Exported by</t>
  </si>
  <si>
    <t>janjoncj@gmail.com</t>
  </si>
  <si>
    <t>Date Time</t>
  </si>
  <si>
    <t>Yuedpao สาขา Central อุบลราชธานี</t>
  </si>
  <si>
    <t>Yuedpao สาขา Passione Shopping Destination ระยอง</t>
  </si>
  <si>
    <t>Yuedpao สาขา Central นครปฐม</t>
  </si>
  <si>
    <t>Yuedpao สาขา Seacon Square ศรีนครินทร์</t>
  </si>
  <si>
    <t>11</t>
  </si>
  <si>
    <t>15</t>
  </si>
  <si>
    <t>22</t>
  </si>
  <si>
    <t>45</t>
  </si>
  <si>
    <t>65</t>
  </si>
  <si>
    <t>67</t>
  </si>
  <si>
    <t>Yuedpao สาขา Market Village สุวรรณภูมิ</t>
  </si>
  <si>
    <t>68</t>
  </si>
  <si>
    <t>1</t>
  </si>
  <si>
    <t>คลังสินค้า Yuedpao Online</t>
  </si>
  <si>
    <t>8</t>
  </si>
  <si>
    <t>18</t>
  </si>
  <si>
    <t>คลังลูกค้าส่ง Yuedpao</t>
  </si>
  <si>
    <t>33</t>
  </si>
  <si>
    <t>35</t>
  </si>
  <si>
    <t>คลังลูกค้าส่ง Yuedpao 2</t>
  </si>
  <si>
    <t>53</t>
  </si>
  <si>
    <t>56</t>
  </si>
  <si>
    <t>58</t>
  </si>
  <si>
    <t>63</t>
  </si>
  <si>
    <t>Yuedpao สาขา Robinson บุรีรัมย์</t>
  </si>
  <si>
    <t>69</t>
  </si>
  <si>
    <t>70</t>
  </si>
  <si>
    <t>TARGET +V7%</t>
  </si>
  <si>
    <t>Event Big C สุขสวัสดิ์</t>
  </si>
  <si>
    <t>Yuedpao สาขา Robinson ลาดกระบัง</t>
  </si>
  <si>
    <t>SALE OUT</t>
  </si>
  <si>
    <t>Yuedpao สาขา Robinson ปราจีนบุรี</t>
  </si>
  <si>
    <t>71</t>
  </si>
  <si>
    <t>72</t>
  </si>
  <si>
    <t>73</t>
  </si>
  <si>
    <t>SHOP</t>
  </si>
  <si>
    <t>74</t>
  </si>
  <si>
    <t>75</t>
  </si>
  <si>
    <t>คงเหลือ 110</t>
  </si>
  <si>
    <t>คงเหลือ 120</t>
  </si>
  <si>
    <t>0%</t>
  </si>
  <si>
    <t>คลังสินค้ารับคืน Yuedpao Online</t>
  </si>
  <si>
    <t>คลังสินค้าโล๊ะล้างสต๊อก(เสื้อตำหนิ)</t>
  </si>
  <si>
    <t>Yuedpao สาขา The Street รัชดา</t>
  </si>
  <si>
    <t>76</t>
  </si>
  <si>
    <t>77</t>
  </si>
  <si>
    <t>Yuedpao สินค้าสั่งผลิต</t>
  </si>
  <si>
    <t>Yuedpao สาขา MAYA เชียงใหม่</t>
  </si>
  <si>
    <t>Yuedpao สาขา Imperial World สำโรง</t>
  </si>
  <si>
    <t>SALE +7%</t>
  </si>
  <si>
    <t>0.52%</t>
  </si>
  <si>
    <t>0.34%</t>
  </si>
  <si>
    <t>Yuedpao สาขา Robinson มุกดาหาร</t>
  </si>
  <si>
    <t>Event Central แจ้งวัฒนะ</t>
  </si>
  <si>
    <t>ยอดขาย</t>
  </si>
  <si>
    <t>AVL Sale</t>
  </si>
  <si>
    <t>Estimate</t>
  </si>
  <si>
    <t>Achieve</t>
  </si>
  <si>
    <t>Yuedpao สาขา Big C ยะลา</t>
  </si>
  <si>
    <t>Yuedpao สาขา Robinson ราชบุรี</t>
  </si>
  <si>
    <t>Yuedpao สาขา I am China Town</t>
  </si>
  <si>
    <t>ว่าง</t>
  </si>
  <si>
    <t>0.64%</t>
  </si>
  <si>
    <t xml:space="preserve">TOTAL SAME STORE </t>
  </si>
  <si>
    <t>0.61%</t>
  </si>
  <si>
    <t>78</t>
  </si>
  <si>
    <t>79</t>
  </si>
  <si>
    <t>80</t>
  </si>
  <si>
    <t>81</t>
  </si>
  <si>
    <t>82</t>
  </si>
  <si>
    <t>TOTAL ALL STORE</t>
  </si>
  <si>
    <t>Target</t>
  </si>
  <si>
    <t>%Target</t>
  </si>
  <si>
    <t xml:space="preserve">Exchange Store </t>
  </si>
  <si>
    <t>Yuedpao สาขา Robinson สระบุรี</t>
  </si>
  <si>
    <t>Yuedpao สาขา Robinson ชลบุรี</t>
  </si>
  <si>
    <t>83</t>
  </si>
  <si>
    <t>ยอดรวม</t>
  </si>
  <si>
    <t>ยอดขายเฉลี่ยนต่อวัน</t>
  </si>
  <si>
    <t>Sale Estimate</t>
  </si>
  <si>
    <t>SALE OUT ESTIMATE</t>
  </si>
  <si>
    <t>84</t>
  </si>
  <si>
    <t>85</t>
  </si>
  <si>
    <t>86</t>
  </si>
  <si>
    <t>คลังโล๊ะล้างสต็อก Yuedpao สาขา SIAM SQUARE(เสื้อตำหนิ)</t>
  </si>
  <si>
    <t>0.55%</t>
  </si>
  <si>
    <t>คลังรับคืน สินค้าโล๊ะล้างสต๊อก(เสื้อตำหนิ)</t>
  </si>
  <si>
    <t>-0%</t>
  </si>
  <si>
    <t>0.46%</t>
  </si>
  <si>
    <t>SALE OUT ESTIMATE +50%</t>
  </si>
  <si>
    <t>0.74%</t>
  </si>
  <si>
    <t xml:space="preserve"> </t>
  </si>
  <si>
    <t>Yuedpao สาขา Robinson ศรีสมาน</t>
  </si>
  <si>
    <t>0.45%</t>
  </si>
  <si>
    <t>0.79%</t>
  </si>
  <si>
    <t>Yuedpao สาขา Robinson ตรัง</t>
  </si>
  <si>
    <t>Yuedpao สาขา Robinson ชัยภูมิ</t>
  </si>
  <si>
    <t>Yuedpao สาขา Robinson ร้อยเอ็ด</t>
  </si>
  <si>
    <t>Yuedpao สาขา Central กระบี่</t>
  </si>
  <si>
    <t>Yuedpao สาขา The Mall งามวงศ์วาน (Sport Shop)</t>
  </si>
  <si>
    <t>87</t>
  </si>
  <si>
    <t>88</t>
  </si>
  <si>
    <t>0.63%</t>
  </si>
  <si>
    <t>0.31%</t>
  </si>
  <si>
    <t>89</t>
  </si>
  <si>
    <t>90</t>
  </si>
  <si>
    <t>91</t>
  </si>
  <si>
    <t>Event สหไทย ทุ่งสง (นครศรีธรรมราช)</t>
  </si>
  <si>
    <t>Yuedpao สาขา Robinson แม่สอด</t>
  </si>
  <si>
    <t>OPEN 01 NOV 2024</t>
  </si>
  <si>
    <t>Yuedpao สาขา Big C อำนาจเจริญ</t>
  </si>
  <si>
    <t>Yuedpao สาขา Big C ราชดำริ</t>
  </si>
  <si>
    <t>Event Market Village หัวหิน</t>
  </si>
  <si>
    <t>92</t>
  </si>
  <si>
    <t>93</t>
  </si>
  <si>
    <t>0.39%</t>
  </si>
  <si>
    <t>0.8%</t>
  </si>
  <si>
    <t>0.43%</t>
  </si>
  <si>
    <t>0.41%</t>
  </si>
  <si>
    <t>0.42%</t>
  </si>
  <si>
    <t>Event Robinson กาญจนบุรี</t>
  </si>
  <si>
    <t>Event Bluport หัวหิน</t>
  </si>
  <si>
    <t>TARGET DEC'2025</t>
  </si>
  <si>
    <t>Yuedpao สาขา Robinson สมุทรปราการ</t>
  </si>
  <si>
    <t>Yuedpao สาขา Sermthai Complex มหาสารคาม</t>
  </si>
  <si>
    <t>DEC'2025</t>
  </si>
  <si>
    <t>29-04</t>
  </si>
  <si>
    <t>0.53%</t>
  </si>
  <si>
    <t>0.92%</t>
  </si>
  <si>
    <t>0.56%</t>
  </si>
  <si>
    <t>1.05%</t>
  </si>
  <si>
    <t>0.18%</t>
  </si>
  <si>
    <t>Event The Ocean ชุมพร</t>
  </si>
  <si>
    <t>Event Central จันทบุรี</t>
  </si>
  <si>
    <t>0.44%</t>
  </si>
  <si>
    <t>0.49%</t>
  </si>
  <si>
    <t>Event 4EVE 5th Anniversary Party “ Love me 4Ever, Love you 5Ever "</t>
  </si>
  <si>
    <t>0.03%</t>
  </si>
  <si>
    <t>0.85%</t>
  </si>
  <si>
    <t>Event Central ชลบุรี</t>
  </si>
  <si>
    <t>Fulfillment Shopee</t>
  </si>
  <si>
    <t>Event Robinson สกลนคร</t>
  </si>
  <si>
    <t>0.69%</t>
  </si>
  <si>
    <t>0.93%</t>
  </si>
  <si>
    <t>1.08%</t>
  </si>
  <si>
    <t>0.94%</t>
  </si>
  <si>
    <t>0.95%</t>
  </si>
  <si>
    <t>12-18</t>
  </si>
  <si>
    <t>19-25</t>
  </si>
  <si>
    <t>26-01</t>
  </si>
  <si>
    <t>0.91%</t>
  </si>
  <si>
    <t>0.82%</t>
  </si>
  <si>
    <t>0.47%</t>
  </si>
  <si>
    <t>05-11</t>
  </si>
  <si>
    <t>0.73%</t>
  </si>
  <si>
    <t>0.26%</t>
  </si>
  <si>
    <t>JAN'2026</t>
  </si>
  <si>
    <t>คลังสินค้าหลัก Yuedpao</t>
  </si>
  <si>
    <t>94</t>
  </si>
  <si>
    <t>95</t>
  </si>
  <si>
    <t>96</t>
  </si>
  <si>
    <t>97</t>
  </si>
  <si>
    <t>98</t>
  </si>
  <si>
    <t>OPEN 01 AUN 2024</t>
  </si>
  <si>
    <t>REROCATE  16 DEC 2025</t>
  </si>
  <si>
    <t>OPEN 20 DEC 2024</t>
  </si>
  <si>
    <t>OPEN 01 JUN 2024</t>
  </si>
  <si>
    <t>OPEN 15 NOV 2024</t>
  </si>
  <si>
    <t>REROCATE  01 DEC 2024</t>
  </si>
  <si>
    <t>REROCATE  05 FEB 2024</t>
  </si>
  <si>
    <t>REROCATE 01 DEC 2024</t>
  </si>
  <si>
    <t>1.07%</t>
  </si>
  <si>
    <t>Yuedpao สาขา Robinson ถลาง ภูเก็ต</t>
  </si>
  <si>
    <t>0.9%</t>
  </si>
  <si>
    <t>0.88%</t>
  </si>
  <si>
    <t>0.68%</t>
  </si>
  <si>
    <t>0.65%</t>
  </si>
  <si>
    <t>Event Century อ่อนนุช</t>
  </si>
  <si>
    <t>99</t>
  </si>
  <si>
    <t>100</t>
  </si>
  <si>
    <t>101</t>
  </si>
  <si>
    <t>0.86%</t>
  </si>
  <si>
    <t>Event Artifact</t>
  </si>
  <si>
    <t>1.11%</t>
  </si>
  <si>
    <t>0.07%</t>
  </si>
  <si>
    <t>Event PiXXiE Tales Concert : The Enchanted Ceremony</t>
  </si>
  <si>
    <t>Event Muuji Festival 2026</t>
  </si>
  <si>
    <t>1.17%</t>
  </si>
  <si>
    <t>0.22%</t>
  </si>
  <si>
    <t>102</t>
  </si>
  <si>
    <t>103</t>
  </si>
  <si>
    <t>1.06%</t>
  </si>
  <si>
    <t>0.71%</t>
  </si>
  <si>
    <t>0.54%</t>
  </si>
  <si>
    <t>0.2%</t>
  </si>
  <si>
    <t>Event Friday อุตรดิตถ์</t>
  </si>
  <si>
    <t>0.13%</t>
  </si>
  <si>
    <t>Event GELBOYS CLOSE FAN MEETING</t>
  </si>
  <si>
    <t>0.3%</t>
  </si>
  <si>
    <t>104</t>
  </si>
  <si>
    <t>105</t>
  </si>
  <si>
    <t>ว่าง116</t>
  </si>
  <si>
    <t>Event PUN 'Bandage' The 1st Concert</t>
  </si>
  <si>
    <t>Event Longlay Festival 2025</t>
  </si>
  <si>
    <t>1.84%</t>
  </si>
  <si>
    <t>0.78%</t>
  </si>
  <si>
    <t>คลังพัสดุ (คอนเสิร์ต)</t>
  </si>
  <si>
    <t>0.28%</t>
  </si>
  <si>
    <t>0.1%</t>
  </si>
  <si>
    <t>1.47%</t>
  </si>
  <si>
    <t>1.22%</t>
  </si>
  <si>
    <t>1.15%</t>
  </si>
  <si>
    <t>1.38%</t>
  </si>
  <si>
    <t>0.99%</t>
  </si>
  <si>
    <t>0.72%</t>
  </si>
  <si>
    <t>0.66%</t>
  </si>
  <si>
    <t>0.33%</t>
  </si>
  <si>
    <t>0.17%</t>
  </si>
  <si>
    <t>0.16%</t>
  </si>
  <si>
    <t>Yuedpao สาขา Lotus สามกอง ภูเก็ต</t>
  </si>
  <si>
    <t>0.02%</t>
  </si>
  <si>
    <t>1.53%</t>
  </si>
  <si>
    <t>1.28%</t>
  </si>
  <si>
    <t>1.13%</t>
  </si>
  <si>
    <t>0.77%</t>
  </si>
  <si>
    <t>0.51%</t>
  </si>
  <si>
    <t>0.48%</t>
  </si>
  <si>
    <t>1.83%</t>
  </si>
  <si>
    <t>1.35%</t>
  </si>
  <si>
    <t>1.18%</t>
  </si>
  <si>
    <t>0.87%</t>
  </si>
  <si>
    <t>0.36%</t>
  </si>
  <si>
    <t>-0.36%</t>
  </si>
  <si>
    <t>01-31 JAN 2026</t>
  </si>
  <si>
    <t>0.98%</t>
  </si>
  <si>
    <t>0.96%</t>
  </si>
  <si>
    <t>0.32%</t>
  </si>
  <si>
    <t>0.19%</t>
  </si>
  <si>
    <t>ยอดขายรายคลัง|สาขา 1/1/2568 - 31/1/2568</t>
  </si>
  <si>
    <t>33.28%</t>
  </si>
  <si>
    <t>2.23%</t>
  </si>
  <si>
    <t>2.03%</t>
  </si>
  <si>
    <t>1.82%</t>
  </si>
  <si>
    <t>1.77%</t>
  </si>
  <si>
    <t>1.49%</t>
  </si>
  <si>
    <t>1.42%</t>
  </si>
  <si>
    <t>1.32%</t>
  </si>
  <si>
    <t>1.23%</t>
  </si>
  <si>
    <t>1.2%</t>
  </si>
  <si>
    <t>1.03%</t>
  </si>
  <si>
    <t>0.75%</t>
  </si>
  <si>
    <t>0.57%</t>
  </si>
  <si>
    <t>0.21%</t>
  </si>
  <si>
    <t>ยอดขายรายคลัง|สาขา 1/1/2569 - 31/1/2569</t>
  </si>
  <si>
    <t>1.44%</t>
  </si>
  <si>
    <t>1.39%</t>
  </si>
  <si>
    <t>1.26%</t>
  </si>
  <si>
    <t>0.37%</t>
  </si>
  <si>
    <t>0.24%</t>
  </si>
  <si>
    <t>0.12%</t>
  </si>
  <si>
    <t>0.04%</t>
  </si>
  <si>
    <t>-0.86%</t>
  </si>
  <si>
    <t>42.53%</t>
  </si>
  <si>
    <t>1.16%</t>
  </si>
  <si>
    <t>0.62%</t>
  </si>
  <si>
    <t>0.58%</t>
  </si>
  <si>
    <t>0.4%</t>
  </si>
  <si>
    <t>1/2/2026 19:57+07:00</t>
  </si>
  <si>
    <t>2/2/2026 13:57+07:00</t>
  </si>
  <si>
    <t>ยอดขายรายคลัง|สาขา 1/12/2568 - 31/12/2568</t>
  </si>
  <si>
    <t>38.69%</t>
  </si>
  <si>
    <t>2.14%</t>
  </si>
  <si>
    <t>1.71%</t>
  </si>
  <si>
    <t>1.55%</t>
  </si>
  <si>
    <t>1.31%</t>
  </si>
  <si>
    <t>1.3%</t>
  </si>
  <si>
    <t>1.25%</t>
  </si>
  <si>
    <t>1.24%</t>
  </si>
  <si>
    <t>1.14%</t>
  </si>
  <si>
    <t>0.97%</t>
  </si>
  <si>
    <t>0.89%</t>
  </si>
  <si>
    <t>0.83%</t>
  </si>
  <si>
    <t>0.81%</t>
  </si>
  <si>
    <t>0.76%</t>
  </si>
  <si>
    <t>0.7%</t>
  </si>
  <si>
    <t>0.6%</t>
  </si>
  <si>
    <t>0.5%</t>
  </si>
  <si>
    <t>0.35%</t>
  </si>
  <si>
    <t>0.27%</t>
  </si>
  <si>
    <t>0.25%</t>
  </si>
  <si>
    <t>Event  ATLAS Birthday Party Journey 4th the Next Chapter</t>
  </si>
  <si>
    <t>Event Fashion Island</t>
  </si>
  <si>
    <t>Event สหไทย สุราษฏร์ธานี</t>
  </si>
  <si>
    <t>Event Central ลำปาง</t>
  </si>
  <si>
    <t>0.15%</t>
  </si>
  <si>
    <t>0.14%</t>
  </si>
  <si>
    <t>Event CAT EXPO 12</t>
  </si>
  <si>
    <t>Event Center one</t>
  </si>
  <si>
    <t>0.11%</t>
  </si>
  <si>
    <t>Event ทวีกิจบุรีรัมย์</t>
  </si>
  <si>
    <t>0.09%</t>
  </si>
  <si>
    <t>Event Robinson เพชรบุรี</t>
  </si>
  <si>
    <t>Event เสริมไทยมหาสารคาม</t>
  </si>
  <si>
    <t>0.06%</t>
  </si>
  <si>
    <t>0.05%</t>
  </si>
  <si>
    <t>Event Young Fashion Sale @โคราช</t>
  </si>
  <si>
    <t>Event Bangkok Aholic</t>
  </si>
  <si>
    <t>Event Carniwow (ศูนย์ศิริกิต)</t>
  </si>
  <si>
    <t>0.01%</t>
  </si>
  <si>
    <t>106</t>
  </si>
  <si>
    <t>107</t>
  </si>
  <si>
    <t>Event Circular House</t>
  </si>
  <si>
    <t>108</t>
  </si>
  <si>
    <t>109</t>
  </si>
  <si>
    <t>คลังสินค้ามีตำหนิ Yuedpao</t>
  </si>
  <si>
    <t>110</t>
  </si>
  <si>
    <t>111</t>
  </si>
  <si>
    <t>-0.94%</t>
  </si>
  <si>
    <t>2/2/2026 14:12+07:00</t>
  </si>
  <si>
    <t>Yuedpao สาขา Robinson กำแพงเพชร</t>
  </si>
  <si>
    <t>In Vat</t>
  </si>
  <si>
    <t>Ex 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</si>
</sst>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87" formatCode="_(* #,##0_);_(* \(#,##0\);_(* &quot;-&quot;??_);_(@_)"/>
    <numFmt numFmtId="188" formatCode="&quot;฿&quot;#,##0.00"/>
    <numFmt numFmtId="189" formatCode="[Blue]#,##0.00;[Red]\(#,##0.00\);[Black]0.00"/>
    <numFmt numFmtId="191" formatCode="0.00%;[Red]\-0.00%"/>
    <numFmt numFmtId="192" formatCode="#,000;[Red]\-#,000"/>
  </numFmts>
  <fonts count="25" x14ac:knownFonts="1">
    <font>
      <sz val="12"/>
      <color theme="1"/>
      <name val="Tahoma"/>
      <family val="2"/>
      <charset val="222"/>
      <scheme val="minor"/>
    </font>
    <font>
      <sz val="12"/>
      <color theme="1"/>
      <name val="Tahoma"/>
      <family val="2"/>
      <charset val="222"/>
      <scheme val="minor"/>
    </font>
    <font>
      <sz val="12"/>
      <color theme="1"/>
      <name val="Tahoma"/>
      <family val="2"/>
      <scheme val="minor"/>
    </font>
    <font>
      <sz val="8"/>
      <name val="Tahoma"/>
      <family val="2"/>
      <charset val="222"/>
      <scheme val="minor"/>
    </font>
    <font>
      <b/>
      <sz val="12"/>
      <name val="Calibri"/>
      <family val="2"/>
    </font>
    <font>
      <sz val="12"/>
      <name val="Calibri"/>
      <family val="2"/>
    </font>
    <font>
      <sz val="12"/>
      <color theme="1"/>
      <name val="Helvetica Neue"/>
      <family val="2"/>
    </font>
    <font>
      <b/>
      <sz val="18"/>
      <color theme="1"/>
      <name val="Tahoma"/>
      <family val="2"/>
    </font>
    <font>
      <b/>
      <sz val="14"/>
      <color theme="1"/>
      <name val="Tahoma"/>
      <family val="2"/>
    </font>
    <font>
      <b/>
      <sz val="14"/>
      <name val="Tahoma"/>
      <family val="2"/>
    </font>
    <font>
      <b/>
      <sz val="14"/>
      <color rgb="FFFF0000"/>
      <name val="Tahoma"/>
      <family val="2"/>
    </font>
    <font>
      <b/>
      <sz val="14"/>
      <color rgb="FF000000"/>
      <name val="Tahoma"/>
      <family val="2"/>
    </font>
    <font>
      <b/>
      <sz val="14"/>
      <color theme="0"/>
      <name val="Tahoma"/>
      <family val="2"/>
    </font>
    <font>
      <b/>
      <sz val="14"/>
      <color rgb="FF0100D5"/>
      <name val="Tahoma"/>
      <family val="2"/>
    </font>
    <font>
      <b/>
      <sz val="12"/>
      <color rgb="FFFF0000"/>
      <name val="Tahoma"/>
      <family val="2"/>
    </font>
    <font>
      <b/>
      <sz val="18"/>
      <name val="Tahoma"/>
      <family val="2"/>
    </font>
    <font>
      <b/>
      <sz val="16"/>
      <color theme="1"/>
      <name val="Tahoma"/>
      <family val="2"/>
    </font>
    <font>
      <b/>
      <sz val="16"/>
      <name val="Tahoma"/>
      <family val="2"/>
    </font>
    <font>
      <sz val="12"/>
      <color theme="1"/>
      <name val="Arial"/>
      <family val="2"/>
    </font>
    <font>
      <b/>
      <sz val="12"/>
      <color theme="1"/>
      <name val="Helvetica Neue"/>
      <family val="2"/>
    </font>
    <font>
      <b/>
      <sz val="14"/>
      <color theme="4"/>
      <name val="Tahoma"/>
      <family val="2"/>
    </font>
    <font>
      <b/>
      <sz val="16"/>
      <color rgb="FFFF0000"/>
      <name val="Tahoma"/>
      <family val="2"/>
    </font>
    <font>
      <b/>
      <sz val="12"/>
      <color theme="1"/>
      <name val="Tahoma"/>
      <family val="2"/>
    </font>
    <font>
      <b/>
      <sz val="14"/>
      <color rgb="FFF90418"/>
      <name val="Tahoma"/>
      <family val="2"/>
    </font>
    <font>
      <sz val="10"/>
      <color theme="1"/>
      <name val="Sarabun"/>
      <family val="2"/>
      <charset val="222"/>
    </font>
  </fonts>
  <fills count="1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0CECE"/>
      </patternFill>
    </fill>
    <fill>
      <patternFill patternType="solid">
        <f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4A402"/>
        <bgColor indexed="64"/>
      </patternFill>
    </fill>
    <fill>
      <patternFill patternType="solid">
        <fgColor rgb="FFDEEBF8"/>
        <bgColor indexed="64"/>
      </patternFill>
    </fill>
    <fill>
      <patternFill patternType="solid">
        <fgColor rgb="FFEBF9F1"/>
        <bgColor indexed="64"/>
      </patternFill>
    </fill>
    <fill>
      <patternFill patternType="solid">
        <fgColor rgb="FFECFAF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BC2E7"/>
        <bgColor indexed="64"/>
      </patternFill>
    </fill>
    <fill>
      <patternFill patternType="solid">
        <fgColor rgb="FFEDFBF3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" fillId="0" borderId="0"/>
  </cellStyleXfs>
  <cellXfs count="182">
    <xf numFmtId="0" fontId="0" fillId="0" borderId="0" xfId="0"/>
    <xf numFmtId="0" fontId="4" fillId="5" borderId="4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89" fontId="5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4" borderId="0" xfId="0" applyFont="1" applyFill="1"/>
    <xf numFmtId="0" fontId="7" fillId="9" borderId="4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vertical="center"/>
    </xf>
    <xf numFmtId="187" fontId="7" fillId="0" borderId="4" xfId="1" applyNumberFormat="1" applyFont="1" applyFill="1" applyBorder="1" applyAlignment="1">
      <alignment vertical="center"/>
    </xf>
    <xf numFmtId="3" fontId="7" fillId="0" borderId="4" xfId="0" applyNumberFormat="1" applyFont="1" applyBorder="1" applyAlignment="1">
      <alignment vertical="center"/>
    </xf>
    <xf numFmtId="43" fontId="7" fillId="0" borderId="4" xfId="1" applyFont="1" applyFill="1" applyBorder="1" applyAlignment="1">
      <alignment vertical="center"/>
    </xf>
    <xf numFmtId="187" fontId="7" fillId="9" borderId="4" xfId="1" applyNumberFormat="1" applyFont="1" applyFill="1" applyBorder="1" applyAlignment="1">
      <alignment vertical="center"/>
    </xf>
    <xf numFmtId="3" fontId="7" fillId="9" borderId="4" xfId="0" applyNumberFormat="1" applyFont="1" applyFill="1" applyBorder="1" applyAlignment="1">
      <alignment vertical="center"/>
    </xf>
    <xf numFmtId="43" fontId="7" fillId="9" borderId="4" xfId="1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vertical="center"/>
    </xf>
    <xf numFmtId="187" fontId="8" fillId="3" borderId="4" xfId="0" applyNumberFormat="1" applyFont="1" applyFill="1" applyBorder="1" applyAlignment="1">
      <alignment horizontal="left" vertical="center"/>
    </xf>
    <xf numFmtId="187" fontId="9" fillId="3" borderId="4" xfId="1" applyNumberFormat="1" applyFont="1" applyFill="1" applyBorder="1" applyAlignment="1">
      <alignment vertical="center"/>
    </xf>
    <xf numFmtId="187" fontId="9" fillId="0" borderId="4" xfId="0" applyNumberFormat="1" applyFont="1" applyBorder="1" applyAlignment="1">
      <alignment horizontal="center" vertical="center"/>
    </xf>
    <xf numFmtId="191" fontId="9" fillId="3" borderId="4" xfId="0" applyNumberFormat="1" applyFont="1" applyFill="1" applyBorder="1" applyAlignment="1">
      <alignment vertical="center"/>
    </xf>
    <xf numFmtId="4" fontId="9" fillId="0" borderId="4" xfId="1" applyNumberFormat="1" applyFont="1" applyFill="1" applyBorder="1" applyAlignment="1">
      <alignment horizontal="center" vertical="center"/>
    </xf>
    <xf numFmtId="187" fontId="9" fillId="8" borderId="4" xfId="1" applyNumberFormat="1" applyFont="1" applyFill="1" applyBorder="1" applyAlignment="1">
      <alignment vertical="center"/>
    </xf>
    <xf numFmtId="3" fontId="9" fillId="0" borderId="4" xfId="1" applyNumberFormat="1" applyFont="1" applyFill="1" applyBorder="1" applyAlignment="1">
      <alignment vertical="center"/>
    </xf>
    <xf numFmtId="10" fontId="9" fillId="0" borderId="4" xfId="5" applyNumberFormat="1" applyFont="1" applyFill="1" applyBorder="1" applyAlignment="1">
      <alignment vertical="center"/>
    </xf>
    <xf numFmtId="187" fontId="9" fillId="0" borderId="4" xfId="1" applyNumberFormat="1" applyFont="1" applyFill="1" applyBorder="1" applyAlignment="1">
      <alignment vertical="center"/>
    </xf>
    <xf numFmtId="4" fontId="9" fillId="0" borderId="4" xfId="0" applyNumberFormat="1" applyFont="1" applyBorder="1" applyAlignment="1">
      <alignment vertical="center"/>
    </xf>
    <xf numFmtId="10" fontId="8" fillId="3" borderId="4" xfId="5" applyNumberFormat="1" applyFont="1" applyFill="1" applyBorder="1" applyAlignment="1">
      <alignment vertical="center"/>
    </xf>
    <xf numFmtId="187" fontId="9" fillId="10" borderId="4" xfId="1" applyNumberFormat="1" applyFont="1" applyFill="1" applyBorder="1" applyAlignment="1">
      <alignment vertical="center"/>
    </xf>
    <xf numFmtId="187" fontId="8" fillId="0" borderId="4" xfId="1" applyNumberFormat="1" applyFont="1" applyFill="1" applyBorder="1" applyAlignment="1">
      <alignment vertical="center"/>
    </xf>
    <xf numFmtId="187" fontId="8" fillId="3" borderId="4" xfId="1" applyNumberFormat="1" applyFont="1" applyFill="1" applyBorder="1" applyAlignment="1">
      <alignment vertical="center"/>
    </xf>
    <xf numFmtId="187" fontId="11" fillId="0" borderId="4" xfId="1" applyNumberFormat="1" applyFont="1" applyFill="1" applyBorder="1" applyAlignment="1">
      <alignment vertical="center"/>
    </xf>
    <xf numFmtId="0" fontId="10" fillId="3" borderId="4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3" borderId="0" xfId="0" applyFont="1" applyFill="1" applyAlignment="1">
      <alignment vertical="center"/>
    </xf>
    <xf numFmtId="192" fontId="8" fillId="0" borderId="4" xfId="1" applyNumberFormat="1" applyFont="1" applyFill="1" applyBorder="1" applyAlignment="1">
      <alignment vertical="center"/>
    </xf>
    <xf numFmtId="191" fontId="9" fillId="0" borderId="4" xfId="0" applyNumberFormat="1" applyFont="1" applyBorder="1" applyAlignment="1">
      <alignment vertical="center"/>
    </xf>
    <xf numFmtId="0" fontId="9" fillId="9" borderId="3" xfId="0" applyFont="1" applyFill="1" applyBorder="1" applyAlignment="1">
      <alignment horizontal="center" vertical="center"/>
    </xf>
    <xf numFmtId="187" fontId="9" fillId="9" borderId="4" xfId="0" applyNumberFormat="1" applyFont="1" applyFill="1" applyBorder="1" applyAlignment="1">
      <alignment horizontal="left" vertical="center"/>
    </xf>
    <xf numFmtId="187" fontId="9" fillId="9" borderId="4" xfId="1" applyNumberFormat="1" applyFont="1" applyFill="1" applyBorder="1" applyAlignment="1">
      <alignment vertical="center"/>
    </xf>
    <xf numFmtId="1" fontId="9" fillId="9" borderId="4" xfId="1" applyNumberFormat="1" applyFont="1" applyFill="1" applyBorder="1" applyAlignment="1">
      <alignment horizontal="center" vertical="center"/>
    </xf>
    <xf numFmtId="10" fontId="9" fillId="9" borderId="4" xfId="5" applyNumberFormat="1" applyFont="1" applyFill="1" applyBorder="1" applyAlignment="1">
      <alignment vertical="center"/>
    </xf>
    <xf numFmtId="10" fontId="9" fillId="9" borderId="4" xfId="5" applyNumberFormat="1" applyFont="1" applyFill="1" applyBorder="1" applyAlignment="1">
      <alignment horizontal="center" vertical="center"/>
    </xf>
    <xf numFmtId="9" fontId="9" fillId="9" borderId="4" xfId="5" applyFont="1" applyFill="1" applyBorder="1" applyAlignment="1">
      <alignment vertical="center"/>
    </xf>
    <xf numFmtId="0" fontId="9" fillId="9" borderId="4" xfId="0" applyFont="1" applyFill="1" applyBorder="1" applyAlignment="1">
      <alignment horizontal="center" vertical="center"/>
    </xf>
    <xf numFmtId="187" fontId="9" fillId="9" borderId="4" xfId="0" applyNumberFormat="1" applyFont="1" applyFill="1" applyBorder="1" applyAlignment="1">
      <alignment vertical="center"/>
    </xf>
    <xf numFmtId="191" fontId="9" fillId="9" borderId="4" xfId="0" applyNumberFormat="1" applyFont="1" applyFill="1" applyBorder="1" applyAlignment="1">
      <alignment vertical="center"/>
    </xf>
    <xf numFmtId="4" fontId="9" fillId="9" borderId="4" xfId="1" applyNumberFormat="1" applyFont="1" applyFill="1" applyBorder="1" applyAlignment="1">
      <alignment horizontal="center" vertical="center"/>
    </xf>
    <xf numFmtId="187" fontId="9" fillId="9" borderId="4" xfId="5" applyNumberFormat="1" applyFont="1" applyFill="1" applyBorder="1" applyAlignment="1">
      <alignment vertical="center"/>
    </xf>
    <xf numFmtId="3" fontId="9" fillId="9" borderId="4" xfId="1" applyNumberFormat="1" applyFont="1" applyFill="1" applyBorder="1" applyAlignment="1">
      <alignment vertical="center"/>
    </xf>
    <xf numFmtId="10" fontId="9" fillId="9" borderId="4" xfId="0" applyNumberFormat="1" applyFont="1" applyFill="1" applyBorder="1" applyAlignment="1">
      <alignment vertical="center"/>
    </xf>
    <xf numFmtId="192" fontId="9" fillId="9" borderId="4" xfId="1" applyNumberFormat="1" applyFont="1" applyFill="1" applyBorder="1" applyAlignment="1">
      <alignment vertical="center"/>
    </xf>
    <xf numFmtId="0" fontId="8" fillId="0" borderId="0" xfId="0" applyFont="1"/>
    <xf numFmtId="3" fontId="8" fillId="0" borderId="0" xfId="0" applyNumberFormat="1" applyFont="1"/>
    <xf numFmtId="43" fontId="8" fillId="0" borderId="0" xfId="0" applyNumberFormat="1" applyFont="1"/>
    <xf numFmtId="0" fontId="8" fillId="0" borderId="0" xfId="0" applyFont="1" applyAlignment="1">
      <alignment horizontal="center"/>
    </xf>
    <xf numFmtId="188" fontId="10" fillId="0" borderId="0" xfId="1" applyNumberFormat="1" applyFont="1" applyAlignment="1">
      <alignment horizontal="right"/>
    </xf>
    <xf numFmtId="0" fontId="10" fillId="0" borderId="0" xfId="0" applyFont="1" applyAlignment="1">
      <alignment horizontal="center"/>
    </xf>
    <xf numFmtId="10" fontId="10" fillId="0" borderId="0" xfId="0" applyNumberFormat="1" applyFont="1"/>
    <xf numFmtId="16" fontId="8" fillId="0" borderId="0" xfId="0" quotePrefix="1" applyNumberFormat="1" applyFont="1" applyAlignment="1">
      <alignment horizontal="center"/>
    </xf>
    <xf numFmtId="187" fontId="10" fillId="0" borderId="0" xfId="1" applyNumberFormat="1" applyFont="1" applyAlignment="1">
      <alignment horizontal="right"/>
    </xf>
    <xf numFmtId="10" fontId="10" fillId="3" borderId="0" xfId="0" applyNumberFormat="1" applyFont="1" applyFill="1"/>
    <xf numFmtId="0" fontId="8" fillId="3" borderId="0" xfId="0" applyFont="1" applyFill="1"/>
    <xf numFmtId="187" fontId="8" fillId="3" borderId="0" xfId="1" applyNumberFormat="1" applyFont="1" applyFill="1"/>
    <xf numFmtId="187" fontId="8" fillId="3" borderId="0" xfId="0" applyNumberFormat="1" applyFont="1" applyFill="1"/>
    <xf numFmtId="4" fontId="10" fillId="3" borderId="0" xfId="1" applyNumberFormat="1" applyFont="1" applyFill="1"/>
    <xf numFmtId="10" fontId="8" fillId="3" borderId="0" xfId="5" applyNumberFormat="1" applyFont="1" applyFill="1"/>
    <xf numFmtId="4" fontId="8" fillId="3" borderId="0" xfId="1" applyNumberFormat="1" applyFont="1" applyFill="1"/>
    <xf numFmtId="9" fontId="8" fillId="0" borderId="0" xfId="5" applyFont="1"/>
    <xf numFmtId="0" fontId="12" fillId="7" borderId="4" xfId="0" applyFont="1" applyFill="1" applyBorder="1" applyAlignment="1">
      <alignment horizontal="center"/>
    </xf>
    <xf numFmtId="0" fontId="13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87" fontId="8" fillId="0" borderId="0" xfId="1" applyNumberFormat="1" applyFont="1"/>
    <xf numFmtId="3" fontId="10" fillId="0" borderId="0" xfId="1" applyNumberFormat="1" applyFont="1"/>
    <xf numFmtId="10" fontId="8" fillId="0" borderId="0" xfId="5" applyNumberFormat="1" applyFont="1"/>
    <xf numFmtId="0" fontId="9" fillId="6" borderId="4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left" vertical="center"/>
    </xf>
    <xf numFmtId="0" fontId="8" fillId="0" borderId="4" xfId="0" applyFont="1" applyBorder="1"/>
    <xf numFmtId="187" fontId="8" fillId="0" borderId="4" xfId="0" applyNumberFormat="1" applyFont="1" applyBorder="1"/>
    <xf numFmtId="3" fontId="8" fillId="0" borderId="0" xfId="1" applyNumberFormat="1" applyFont="1"/>
    <xf numFmtId="0" fontId="11" fillId="3" borderId="4" xfId="0" applyFont="1" applyFill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187" fontId="8" fillId="13" borderId="4" xfId="1" applyNumberFormat="1" applyFont="1" applyFill="1" applyBorder="1" applyAlignment="1">
      <alignment vertical="center"/>
    </xf>
    <xf numFmtId="1" fontId="9" fillId="13" borderId="4" xfId="0" applyNumberFormat="1" applyFont="1" applyFill="1" applyBorder="1" applyAlignment="1">
      <alignment horizontal="center" vertical="center"/>
    </xf>
    <xf numFmtId="10" fontId="9" fillId="13" borderId="4" xfId="1" applyNumberFormat="1" applyFont="1" applyFill="1" applyBorder="1" applyAlignment="1">
      <alignment horizontal="center" vertical="center"/>
    </xf>
    <xf numFmtId="187" fontId="9" fillId="13" borderId="4" xfId="1" applyNumberFormat="1" applyFont="1" applyFill="1" applyBorder="1" applyAlignment="1">
      <alignment vertical="center"/>
    </xf>
    <xf numFmtId="10" fontId="9" fillId="14" borderId="4" xfId="1" applyNumberFormat="1" applyFont="1" applyFill="1" applyBorder="1" applyAlignment="1">
      <alignment horizontal="center" vertical="center"/>
    </xf>
    <xf numFmtId="187" fontId="8" fillId="15" borderId="4" xfId="0" applyNumberFormat="1" applyFont="1" applyFill="1" applyBorder="1" applyAlignment="1">
      <alignment horizontal="left" vertical="center"/>
    </xf>
    <xf numFmtId="187" fontId="9" fillId="15" borderId="4" xfId="1" applyNumberFormat="1" applyFont="1" applyFill="1" applyBorder="1" applyAlignment="1">
      <alignment vertical="center"/>
    </xf>
    <xf numFmtId="187" fontId="8" fillId="15" borderId="4" xfId="1" applyNumberFormat="1" applyFont="1" applyFill="1" applyBorder="1" applyAlignment="1">
      <alignment vertical="center"/>
    </xf>
    <xf numFmtId="1" fontId="9" fillId="15" borderId="4" xfId="0" applyNumberFormat="1" applyFont="1" applyFill="1" applyBorder="1" applyAlignment="1">
      <alignment horizontal="center" vertical="center"/>
    </xf>
    <xf numFmtId="187" fontId="9" fillId="15" borderId="4" xfId="0" applyNumberFormat="1" applyFont="1" applyFill="1" applyBorder="1" applyAlignment="1">
      <alignment horizontal="center" vertical="center"/>
    </xf>
    <xf numFmtId="191" fontId="9" fillId="15" borderId="4" xfId="0" applyNumberFormat="1" applyFont="1" applyFill="1" applyBorder="1" applyAlignment="1">
      <alignment vertical="center"/>
    </xf>
    <xf numFmtId="3" fontId="9" fillId="15" borderId="4" xfId="1" applyNumberFormat="1" applyFont="1" applyFill="1" applyBorder="1" applyAlignment="1">
      <alignment vertical="center"/>
    </xf>
    <xf numFmtId="10" fontId="9" fillId="15" borderId="4" xfId="5" applyNumberFormat="1" applyFont="1" applyFill="1" applyBorder="1" applyAlignment="1">
      <alignment vertical="center"/>
    </xf>
    <xf numFmtId="4" fontId="9" fillId="15" borderId="4" xfId="0" applyNumberFormat="1" applyFont="1" applyFill="1" applyBorder="1" applyAlignment="1">
      <alignment vertical="center"/>
    </xf>
    <xf numFmtId="10" fontId="8" fillId="15" borderId="4" xfId="5" applyNumberFormat="1" applyFont="1" applyFill="1" applyBorder="1" applyAlignment="1">
      <alignment vertical="center"/>
    </xf>
    <xf numFmtId="0" fontId="10" fillId="15" borderId="4" xfId="0" applyFont="1" applyFill="1" applyBorder="1" applyAlignment="1">
      <alignment horizontal="center" vertical="center"/>
    </xf>
    <xf numFmtId="10" fontId="15" fillId="0" borderId="4" xfId="5" applyNumberFormat="1" applyFont="1" applyFill="1" applyBorder="1" applyAlignment="1">
      <alignment vertical="center"/>
    </xf>
    <xf numFmtId="187" fontId="7" fillId="16" borderId="4" xfId="1" applyNumberFormat="1" applyFont="1" applyFill="1" applyBorder="1" applyAlignment="1">
      <alignment vertical="center"/>
    </xf>
    <xf numFmtId="3" fontId="7" fillId="16" borderId="4" xfId="0" applyNumberFormat="1" applyFont="1" applyFill="1" applyBorder="1" applyAlignment="1">
      <alignment vertical="center"/>
    </xf>
    <xf numFmtId="43" fontId="7" fillId="16" borderId="4" xfId="1" applyFont="1" applyFill="1" applyBorder="1" applyAlignment="1">
      <alignment vertical="center"/>
    </xf>
    <xf numFmtId="10" fontId="9" fillId="17" borderId="4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9" fillId="0" borderId="4" xfId="1" applyNumberFormat="1" applyFont="1" applyFill="1" applyBorder="1" applyAlignment="1">
      <alignment horizontal="center" vertical="center"/>
    </xf>
    <xf numFmtId="0" fontId="8" fillId="15" borderId="4" xfId="0" applyFont="1" applyFill="1" applyBorder="1" applyAlignment="1">
      <alignment vertical="center"/>
    </xf>
    <xf numFmtId="191" fontId="8" fillId="0" borderId="4" xfId="0" applyNumberFormat="1" applyFont="1" applyBorder="1" applyAlignment="1">
      <alignment vertical="center"/>
    </xf>
    <xf numFmtId="3" fontId="8" fillId="12" borderId="4" xfId="1" applyNumberFormat="1" applyFont="1" applyFill="1" applyBorder="1" applyAlignment="1">
      <alignment vertical="center"/>
    </xf>
    <xf numFmtId="10" fontId="8" fillId="12" borderId="4" xfId="5" applyNumberFormat="1" applyFont="1" applyFill="1" applyBorder="1" applyAlignment="1">
      <alignment vertical="center"/>
    </xf>
    <xf numFmtId="187" fontId="0" fillId="0" borderId="0" xfId="1" applyNumberFormat="1" applyFont="1"/>
    <xf numFmtId="0" fontId="0" fillId="0" borderId="0" xfId="0" applyAlignment="1">
      <alignment vertical="center"/>
    </xf>
    <xf numFmtId="191" fontId="8" fillId="0" borderId="4" xfId="5" applyNumberFormat="1" applyFont="1" applyFill="1" applyBorder="1" applyAlignment="1">
      <alignment vertical="center"/>
    </xf>
    <xf numFmtId="0" fontId="0" fillId="15" borderId="0" xfId="0" applyFill="1" applyAlignment="1">
      <alignment horizontal="center" vertical="center"/>
    </xf>
    <xf numFmtId="0" fontId="16" fillId="9" borderId="6" xfId="0" applyFont="1" applyFill="1" applyBorder="1" applyAlignment="1">
      <alignment horizontal="center" vertical="center"/>
    </xf>
    <xf numFmtId="0" fontId="16" fillId="9" borderId="3" xfId="0" applyFont="1" applyFill="1" applyBorder="1" applyAlignment="1">
      <alignment horizontal="center" vertical="center" wrapText="1"/>
    </xf>
    <xf numFmtId="0" fontId="16" fillId="9" borderId="4" xfId="0" applyFont="1" applyFill="1" applyBorder="1" applyAlignment="1">
      <alignment horizontal="center" vertical="center"/>
    </xf>
    <xf numFmtId="0" fontId="16" fillId="9" borderId="4" xfId="2" applyFont="1" applyFill="1" applyBorder="1" applyAlignment="1">
      <alignment horizontal="center" vertical="center"/>
    </xf>
    <xf numFmtId="0" fontId="16" fillId="9" borderId="4" xfId="2" applyFont="1" applyFill="1" applyBorder="1" applyAlignment="1">
      <alignment horizontal="center" vertical="center" wrapText="1"/>
    </xf>
    <xf numFmtId="0" fontId="16" fillId="9" borderId="7" xfId="0" applyFont="1" applyFill="1" applyBorder="1" applyAlignment="1">
      <alignment horizontal="center" vertical="top"/>
    </xf>
    <xf numFmtId="9" fontId="16" fillId="9" borderId="3" xfId="0" applyNumberFormat="1" applyFont="1" applyFill="1" applyBorder="1" applyAlignment="1">
      <alignment horizontal="center" vertical="center"/>
    </xf>
    <xf numFmtId="9" fontId="16" fillId="9" borderId="4" xfId="0" applyNumberFormat="1" applyFont="1" applyFill="1" applyBorder="1" applyAlignment="1">
      <alignment horizontal="center" vertical="center"/>
    </xf>
    <xf numFmtId="10" fontId="16" fillId="9" borderId="4" xfId="1" applyNumberFormat="1" applyFont="1" applyFill="1" applyBorder="1" applyAlignment="1">
      <alignment horizontal="center" vertical="center" wrapText="1"/>
    </xf>
    <xf numFmtId="0" fontId="16" fillId="9" borderId="4" xfId="1" applyNumberFormat="1" applyFont="1" applyFill="1" applyBorder="1" applyAlignment="1">
      <alignment horizontal="center" vertical="center" wrapText="1"/>
    </xf>
    <xf numFmtId="187" fontId="16" fillId="9" borderId="4" xfId="1" applyNumberFormat="1" applyFont="1" applyFill="1" applyBorder="1" applyAlignment="1">
      <alignment horizontal="center" vertical="center" wrapText="1"/>
    </xf>
    <xf numFmtId="187" fontId="16" fillId="9" borderId="4" xfId="1" quotePrefix="1" applyNumberFormat="1" applyFont="1" applyFill="1" applyBorder="1" applyAlignment="1">
      <alignment horizontal="center" vertical="center" wrapText="1"/>
    </xf>
    <xf numFmtId="49" fontId="16" fillId="9" borderId="4" xfId="1" quotePrefix="1" applyNumberFormat="1" applyFont="1" applyFill="1" applyBorder="1" applyAlignment="1">
      <alignment horizontal="center" vertical="center" wrapText="1"/>
    </xf>
    <xf numFmtId="2" fontId="16" fillId="9" borderId="4" xfId="1" quotePrefix="1" applyNumberFormat="1" applyFont="1" applyFill="1" applyBorder="1" applyAlignment="1">
      <alignment horizontal="center" vertical="center" wrapText="1"/>
    </xf>
    <xf numFmtId="3" fontId="10" fillId="0" borderId="4" xfId="1" applyNumberFormat="1" applyFont="1" applyFill="1" applyBorder="1" applyAlignment="1">
      <alignment horizontal="right" vertical="center"/>
    </xf>
    <xf numFmtId="43" fontId="7" fillId="0" borderId="4" xfId="1" applyFont="1" applyBorder="1" applyAlignment="1">
      <alignment vertical="center"/>
    </xf>
    <xf numFmtId="43" fontId="7" fillId="0" borderId="4" xfId="0" applyNumberFormat="1" applyFont="1" applyBorder="1" applyAlignment="1">
      <alignment vertical="center"/>
    </xf>
    <xf numFmtId="10" fontId="7" fillId="16" borderId="4" xfId="5" applyNumberFormat="1" applyFont="1" applyFill="1" applyBorder="1" applyAlignment="1">
      <alignment vertical="center"/>
    </xf>
    <xf numFmtId="43" fontId="7" fillId="12" borderId="4" xfId="1" applyFont="1" applyFill="1" applyBorder="1" applyAlignment="1">
      <alignment vertical="center"/>
    </xf>
    <xf numFmtId="43" fontId="7" fillId="12" borderId="4" xfId="0" applyNumberFormat="1" applyFont="1" applyFill="1" applyBorder="1" applyAlignment="1">
      <alignment vertical="center"/>
    </xf>
    <xf numFmtId="10" fontId="7" fillId="12" borderId="4" xfId="5" applyNumberFormat="1" applyFont="1" applyFill="1" applyBorder="1" applyAlignment="1">
      <alignment vertical="center"/>
    </xf>
    <xf numFmtId="10" fontId="15" fillId="9" borderId="4" xfId="5" applyNumberFormat="1" applyFont="1" applyFill="1" applyBorder="1" applyAlignment="1">
      <alignment vertical="center"/>
    </xf>
    <xf numFmtId="10" fontId="7" fillId="0" borderId="4" xfId="5" applyNumberFormat="1" applyFont="1" applyFill="1" applyBorder="1" applyAlignment="1">
      <alignment vertical="center"/>
    </xf>
    <xf numFmtId="187" fontId="8" fillId="0" borderId="0" xfId="0" applyNumberFormat="1" applyFont="1"/>
    <xf numFmtId="187" fontId="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3" fontId="6" fillId="0" borderId="0" xfId="0" applyNumberFormat="1" applyFont="1" applyAlignment="1">
      <alignment horizontal="center"/>
    </xf>
    <xf numFmtId="3" fontId="8" fillId="0" borderId="4" xfId="1" applyNumberFormat="1" applyFont="1" applyFill="1" applyBorder="1" applyAlignment="1">
      <alignment horizontal="right" vertical="center"/>
    </xf>
    <xf numFmtId="0" fontId="8" fillId="0" borderId="3" xfId="0" applyFont="1" applyBorder="1" applyAlignment="1">
      <alignment vertical="center"/>
    </xf>
    <xf numFmtId="10" fontId="10" fillId="0" borderId="4" xfId="5" applyNumberFormat="1" applyFont="1" applyFill="1" applyBorder="1" applyAlignment="1">
      <alignment horizontal="right" vertical="center"/>
    </xf>
    <xf numFmtId="10" fontId="10" fillId="9" borderId="4" xfId="5" applyNumberFormat="1" applyFont="1" applyFill="1" applyBorder="1" applyAlignment="1">
      <alignment horizontal="right" vertical="center"/>
    </xf>
    <xf numFmtId="0" fontId="20" fillId="3" borderId="4" xfId="0" applyFont="1" applyFill="1" applyBorder="1" applyAlignment="1">
      <alignment horizontal="center" vertical="center"/>
    </xf>
    <xf numFmtId="10" fontId="9" fillId="0" borderId="4" xfId="5" applyNumberFormat="1" applyFont="1" applyFill="1" applyBorder="1" applyAlignment="1">
      <alignment horizontal="right" vertical="center"/>
    </xf>
    <xf numFmtId="0" fontId="6" fillId="0" borderId="0" xfId="0" applyFont="1"/>
    <xf numFmtId="0" fontId="18" fillId="0" borderId="0" xfId="0" applyFont="1"/>
    <xf numFmtId="0" fontId="19" fillId="0" borderId="0" xfId="0" applyFont="1"/>
    <xf numFmtId="43" fontId="8" fillId="0" borderId="0" xfId="0" applyNumberFormat="1" applyFont="1" applyAlignment="1">
      <alignment vertical="center"/>
    </xf>
    <xf numFmtId="10" fontId="15" fillId="18" borderId="4" xfId="5" applyNumberFormat="1" applyFont="1" applyFill="1" applyBorder="1" applyAlignment="1">
      <alignment vertical="center"/>
    </xf>
    <xf numFmtId="10" fontId="7" fillId="18" borderId="4" xfId="5" applyNumberFormat="1" applyFont="1" applyFill="1" applyBorder="1" applyAlignment="1">
      <alignment vertical="center"/>
    </xf>
    <xf numFmtId="188" fontId="14" fillId="0" borderId="0" xfId="1" applyNumberFormat="1" applyFont="1" applyAlignment="1">
      <alignment horizontal="right" vertical="center"/>
    </xf>
    <xf numFmtId="10" fontId="21" fillId="0" borderId="0" xfId="0" applyNumberFormat="1" applyFont="1" applyAlignment="1">
      <alignment horizontal="center" vertical="center"/>
    </xf>
    <xf numFmtId="0" fontId="22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191" fontId="10" fillId="0" borderId="4" xfId="5" applyNumberFormat="1" applyFont="1" applyFill="1" applyBorder="1" applyAlignment="1">
      <alignment vertical="center"/>
    </xf>
    <xf numFmtId="3" fontId="10" fillId="9" borderId="4" xfId="1" applyNumberFormat="1" applyFont="1" applyFill="1" applyBorder="1" applyAlignment="1">
      <alignment horizontal="right" vertical="center"/>
    </xf>
    <xf numFmtId="191" fontId="10" fillId="9" borderId="4" xfId="5" applyNumberFormat="1" applyFont="1" applyFill="1" applyBorder="1" applyAlignment="1">
      <alignment vertical="center"/>
    </xf>
    <xf numFmtId="3" fontId="9" fillId="0" borderId="4" xfId="1" applyNumberFormat="1" applyFont="1" applyBorder="1" applyAlignment="1">
      <alignment vertical="center"/>
    </xf>
    <xf numFmtId="3" fontId="10" fillId="0" borderId="4" xfId="1" applyNumberFormat="1" applyFont="1" applyBorder="1" applyAlignment="1">
      <alignment vertical="center"/>
    </xf>
    <xf numFmtId="3" fontId="8" fillId="15" borderId="4" xfId="1" applyNumberFormat="1" applyFont="1" applyFill="1" applyBorder="1" applyAlignment="1">
      <alignment vertical="center"/>
    </xf>
    <xf numFmtId="3" fontId="10" fillId="9" borderId="4" xfId="1" applyNumberFormat="1" applyFont="1" applyFill="1" applyBorder="1" applyAlignment="1">
      <alignment vertical="center"/>
    </xf>
    <xf numFmtId="3" fontId="9" fillId="9" borderId="4" xfId="5" applyNumberFormat="1" applyFont="1" applyFill="1" applyBorder="1" applyAlignment="1">
      <alignment vertical="center"/>
    </xf>
    <xf numFmtId="10" fontId="12" fillId="11" borderId="4" xfId="1" applyNumberFormat="1" applyFont="1" applyFill="1" applyBorder="1" applyAlignment="1">
      <alignment horizontal="center" vertical="center"/>
    </xf>
    <xf numFmtId="3" fontId="23" fillId="0" borderId="4" xfId="1" applyNumberFormat="1" applyFont="1" applyFill="1" applyBorder="1" applyAlignment="1">
      <alignment horizontal="right" vertical="center"/>
    </xf>
    <xf numFmtId="0" fontId="17" fillId="16" borderId="4" xfId="0" applyFont="1" applyFill="1" applyBorder="1" applyAlignment="1">
      <alignment vertical="center"/>
    </xf>
    <xf numFmtId="0" fontId="24" fillId="0" borderId="0" xfId="0" applyFont="1"/>
    <xf numFmtId="0" fontId="4" fillId="5" borderId="0" xfId="0" applyFont="1" applyFill="1" applyAlignment="1">
      <alignment horizontal="center"/>
    </xf>
    <xf numFmtId="0" fontId="7" fillId="9" borderId="4" xfId="0" applyFont="1" applyFill="1" applyBorder="1" applyAlignment="1">
      <alignment horizontal="center" vertical="center"/>
    </xf>
    <xf numFmtId="187" fontId="13" fillId="2" borderId="4" xfId="1" applyNumberFormat="1" applyFont="1" applyFill="1" applyBorder="1" applyAlignment="1">
      <alignment vertical="center"/>
    </xf>
    <xf numFmtId="0" fontId="12" fillId="7" borderId="4" xfId="0" applyFont="1" applyFill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6" fillId="9" borderId="4" xfId="2" applyFont="1" applyFill="1" applyBorder="1" applyAlignment="1">
      <alignment horizontal="center" vertical="center" wrapText="1"/>
    </xf>
    <xf numFmtId="0" fontId="16" fillId="9" borderId="4" xfId="2" applyFont="1" applyFill="1" applyBorder="1" applyAlignment="1">
      <alignment horizontal="center" vertical="center"/>
    </xf>
    <xf numFmtId="49" fontId="16" fillId="9" borderId="1" xfId="2" applyNumberFormat="1" applyFont="1" applyFill="1" applyBorder="1" applyAlignment="1">
      <alignment horizontal="center" vertical="center" wrapText="1"/>
    </xf>
    <xf numFmtId="49" fontId="16" fillId="9" borderId="2" xfId="2" applyNumberFormat="1" applyFont="1" applyFill="1" applyBorder="1" applyAlignment="1">
      <alignment horizontal="center" vertical="center" wrapText="1"/>
    </xf>
    <xf numFmtId="49" fontId="16" fillId="9" borderId="3" xfId="2" applyNumberFormat="1" applyFont="1" applyFill="1" applyBorder="1" applyAlignment="1">
      <alignment horizontal="center" vertical="center" wrapText="1"/>
    </xf>
    <xf numFmtId="0" fontId="16" fillId="9" borderId="6" xfId="2" applyFont="1" applyFill="1" applyBorder="1" applyAlignment="1">
      <alignment horizontal="center" vertical="center" wrapText="1"/>
    </xf>
    <xf numFmtId="0" fontId="16" fillId="9" borderId="7" xfId="2" applyFont="1" applyFill="1" applyBorder="1" applyAlignment="1">
      <alignment horizontal="center" vertical="center" wrapText="1"/>
    </xf>
  </cellXfs>
  <cellStyles count="10">
    <cellStyle name="จุลภาค" xfId="1" builtinId="3"/>
    <cellStyle name="จุลภาค 2" xfId="8" xr:uid="{7F933E35-88C9-1644-A8B0-D15073D4EA9E}"/>
    <cellStyle name="จุลภาค 3" xfId="6" xr:uid="{EC511DF7-7E71-FA4D-86E6-F669E89844E9}"/>
    <cellStyle name="จุลภาค 3 2" xfId="3" xr:uid="{3D41F9ED-5459-9744-8F7C-2BDF9ADCC3B0}"/>
    <cellStyle name="ปกติ" xfId="0" builtinId="0"/>
    <cellStyle name="ปกติ 3 2" xfId="2" xr:uid="{1F4CD1BC-DA71-BE47-B755-4D23D0FC66DC}"/>
    <cellStyle name="ปกติ 3 2 2" xfId="9" xr:uid="{1FC5E84D-999B-134B-BBAF-E8569C317795}"/>
    <cellStyle name="ปกติ 6" xfId="7" xr:uid="{7DF2EBD2-4BE8-CF46-BB07-2D0B088BBE4D}"/>
    <cellStyle name="เปอร์เซ็นต์" xfId="5" builtinId="5"/>
    <cellStyle name="เปอร์เซ็นต์ 2" xfId="4" xr:uid="{95FB0913-135D-5840-9C9B-C3F68F3D3230}"/>
  </cellStyles>
  <dxfs count="0"/>
  <tableStyles count="0" defaultTableStyle="TableStyleMedium2" defaultPivotStyle="PivotStyleLight16"/>
  <colors>
    <mruColors>
      <color rgb="FFF90418"/>
      <color rgb="FF04A402"/>
      <color rgb="FFE86863"/>
      <color rgb="FFB1E859"/>
      <color rgb="FFDEEBF8"/>
      <color rgb="FFEFF3FB"/>
      <color rgb="FFDDEAF6"/>
      <color rgb="FFFFFFFF"/>
      <color rgb="FFFCFFFC"/>
      <color rgb="FFEDFB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Report!$C$43</c:f>
              <c:strCache>
                <c:ptCount val="1"/>
                <c:pt idx="0">
                  <c:v>TARGET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Report!$A$44:$A$58</c:f>
              <c:strCache>
                <c:ptCount val="15"/>
                <c:pt idx="0">
                  <c:v>Yuedpao สาขา Mega บางนา</c:v>
                </c:pt>
                <c:pt idx="1">
                  <c:v>Yuedpao สาขา The Mall โคราช</c:v>
                </c:pt>
                <c:pt idx="2">
                  <c:v>Yuedpao สาขา SIAM SQUARE</c:v>
                </c:pt>
                <c:pt idx="3">
                  <c:v>Yuedpao สาขา Central ระยอง</c:v>
                </c:pt>
                <c:pt idx="4">
                  <c:v>Yuedpao สาขา Central โคราช</c:v>
                </c:pt>
                <c:pt idx="5">
                  <c:v>Yuedpao สาขา Robinson บุรีรัมย์</c:v>
                </c:pt>
                <c:pt idx="6">
                  <c:v>Yuedpao สาขา MAYA เชียงใหม่</c:v>
                </c:pt>
                <c:pt idx="7">
                  <c:v>Yuedpao สาขา Future Park Rangsit ชั้น 3</c:v>
                </c:pt>
                <c:pt idx="8">
                  <c:v>Yuedpao สาขา Central Festival เชียงใหม่</c:v>
                </c:pt>
                <c:pt idx="9">
                  <c:v>Yuedpao สาขา Central พัทยา</c:v>
                </c:pt>
                <c:pt idx="10">
                  <c:v>Yuedpao สาขา Central ปิ่นเกล้า</c:v>
                </c:pt>
                <c:pt idx="11">
                  <c:v>Yuedpao สาขา I am China Town</c:v>
                </c:pt>
                <c:pt idx="12">
                  <c:v>Yuedpao สาขา Robinson ชลบุรี</c:v>
                </c:pt>
                <c:pt idx="13">
                  <c:v>Yuedpao สาขา Big C อำนาจเจริญ</c:v>
                </c:pt>
                <c:pt idx="14">
                  <c:v>Yuedpao สาขา Robinson แม่สอด</c:v>
                </c:pt>
              </c:strCache>
            </c:strRef>
          </c:cat>
          <c:val>
            <c:numRef>
              <c:f>Report!$C$44:$C$58</c:f>
              <c:numCache>
                <c:formatCode>_(* #,##0_);_(* \(#,##0\);_(* "-"??_);_(@_)</c:formatCode>
                <c:ptCount val="15"/>
                <c:pt idx="0">
                  <c:v>1030000</c:v>
                </c:pt>
                <c:pt idx="1">
                  <c:v>700000</c:v>
                </c:pt>
                <c:pt idx="2">
                  <c:v>1100000</c:v>
                </c:pt>
                <c:pt idx="3">
                  <c:v>1200000</c:v>
                </c:pt>
                <c:pt idx="4">
                  <c:v>600000</c:v>
                </c:pt>
                <c:pt idx="5">
                  <c:v>500000</c:v>
                </c:pt>
                <c:pt idx="6">
                  <c:v>1200000</c:v>
                </c:pt>
                <c:pt idx="7">
                  <c:v>2200000</c:v>
                </c:pt>
                <c:pt idx="8">
                  <c:v>1400000</c:v>
                </c:pt>
                <c:pt idx="9">
                  <c:v>700000</c:v>
                </c:pt>
                <c:pt idx="10">
                  <c:v>1700000</c:v>
                </c:pt>
                <c:pt idx="11">
                  <c:v>400000</c:v>
                </c:pt>
                <c:pt idx="12">
                  <c:v>950000</c:v>
                </c:pt>
                <c:pt idx="13">
                  <c:v>550000</c:v>
                </c:pt>
                <c:pt idx="14">
                  <c:v>950000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6B-3C49-843B-EBB860FE044B}"/>
            </c:ext>
          </c:extLst>
        </c:ser>
        <c:ser>
          <c:idx val="1"/>
          <c:order val="1"/>
          <c:tx>
            <c:strRef>
              <c:f>Report!$D$43</c:f>
              <c:strCache>
                <c:ptCount val="1"/>
                <c:pt idx="0">
                  <c:v>SALE OUT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Report!$A$44:$A$58</c:f>
              <c:strCache>
                <c:ptCount val="15"/>
                <c:pt idx="0">
                  <c:v>Yuedpao สาขา Mega บางนา</c:v>
                </c:pt>
                <c:pt idx="1">
                  <c:v>Yuedpao สาขา The Mall โคราช</c:v>
                </c:pt>
                <c:pt idx="2">
                  <c:v>Yuedpao สาขา SIAM SQUARE</c:v>
                </c:pt>
                <c:pt idx="3">
                  <c:v>Yuedpao สาขา Central ระยอง</c:v>
                </c:pt>
                <c:pt idx="4">
                  <c:v>Yuedpao สาขา Central โคราช</c:v>
                </c:pt>
                <c:pt idx="5">
                  <c:v>Yuedpao สาขา Robinson บุรีรัมย์</c:v>
                </c:pt>
                <c:pt idx="6">
                  <c:v>Yuedpao สาขา MAYA เชียงใหม่</c:v>
                </c:pt>
                <c:pt idx="7">
                  <c:v>Yuedpao สาขา Future Park Rangsit ชั้น 3</c:v>
                </c:pt>
                <c:pt idx="8">
                  <c:v>Yuedpao สาขา Central Festival เชียงใหม่</c:v>
                </c:pt>
                <c:pt idx="9">
                  <c:v>Yuedpao สาขา Central พัทยา</c:v>
                </c:pt>
                <c:pt idx="10">
                  <c:v>Yuedpao สาขา Central ปิ่นเกล้า</c:v>
                </c:pt>
                <c:pt idx="11">
                  <c:v>Yuedpao สาขา I am China Town</c:v>
                </c:pt>
                <c:pt idx="12">
                  <c:v>Yuedpao สาขา Robinson ชลบุรี</c:v>
                </c:pt>
                <c:pt idx="13">
                  <c:v>Yuedpao สาขา Big C อำนาจเจริญ</c:v>
                </c:pt>
                <c:pt idx="14">
                  <c:v>Yuedpao สาขา Robinson แม่สอด</c:v>
                </c:pt>
              </c:strCache>
            </c:strRef>
          </c:cat>
          <c:val>
            <c:numRef>
              <c:f>Report!$D$44:$D$58</c:f>
              <c:numCache>
                <c:formatCode>_(* #,##0_);_(* \(#,##0\);_(* "-"??_);_(@_)</c:formatCode>
                <c:ptCount val="15"/>
                <c:pt idx="0">
                  <c:v>1027144</c:v>
                </c:pt>
                <c:pt idx="1">
                  <c:v>872878</c:v>
                </c:pt>
                <c:pt idx="2">
                  <c:v>945055.2</c:v>
                </c:pt>
                <c:pt idx="3">
                  <c:v>1198422</c:v>
                </c:pt>
                <c:pt idx="4">
                  <c:v>620565</c:v>
                </c:pt>
                <c:pt idx="5">
                  <c:v>629096</c:v>
                </c:pt>
                <c:pt idx="6">
                  <c:v>1474698</c:v>
                </c:pt>
                <c:pt idx="7">
                  <c:v>2122760</c:v>
                </c:pt>
                <c:pt idx="8">
                  <c:v>1272433.8</c:v>
                </c:pt>
                <c:pt idx="9">
                  <c:v>836250</c:v>
                </c:pt>
                <c:pt idx="10">
                  <c:v>1658515.5</c:v>
                </c:pt>
                <c:pt idx="11">
                  <c:v>335396</c:v>
                </c:pt>
                <c:pt idx="12">
                  <c:v>907039</c:v>
                </c:pt>
                <c:pt idx="13">
                  <c:v>469734.5</c:v>
                </c:pt>
                <c:pt idx="14">
                  <c:v>734037.5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6B-3C49-843B-EBB860FE0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60801584"/>
        <c:axId val="260803296"/>
      </c:barChart>
      <c:catAx>
        <c:axId val="26080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60803296"/>
        <c:crosses val="autoZero"/>
        <c:auto val="1"/>
        <c:lblAlgn val="ctr"/>
        <c:lblOffset val="100"/>
        <c:noMultiLvlLbl val="0"/>
      </c:catAx>
      <c:valAx>
        <c:axId val="26080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6080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907141</xdr:colOff>
      <xdr:row>34</xdr:row>
      <xdr:rowOff>47777</xdr:rowOff>
    </xdr:from>
    <xdr:to>
      <xdr:col>34</xdr:col>
      <xdr:colOff>241904</xdr:colOff>
      <xdr:row>67</xdr:row>
      <xdr:rowOff>211667</xdr:rowOff>
    </xdr:to>
    <xdr:graphicFrame macro="">
      <xdr:nvGraphicFramePr>
        <xdr:cNvPr id="3" name="แผนภูมิ 2">
          <a:extLst>
            <a:ext uri="{FF2B5EF4-FFF2-40B4-BE49-F238E27FC236}">
              <a16:creationId xmlns:a16="http://schemas.microsoft.com/office/drawing/2014/main" id="{629F69ED-0C11-6D65-3489-5A982D49D5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91D81-B342-DF4E-AA1A-BE8A069FD8D4}">
  <sheetPr codeName="Sheet1">
    <tabColor theme="1"/>
  </sheetPr>
  <dimension ref="A1:E88"/>
  <sheetViews>
    <sheetView workbookViewId="0">
      <selection sqref="A1:XFD1048576"/>
    </sheetView>
  </sheetViews>
  <sheetFormatPr baseColWidth="10" defaultColWidth="7.5703125" defaultRowHeight="15" x14ac:dyDescent="0.15"/>
  <cols>
    <col min="1" max="5" width="17.140625" customWidth="1" collapsed="1"/>
  </cols>
  <sheetData>
    <row r="1" spans="1:5" ht="16" x14ac:dyDescent="0.2">
      <c r="A1" s="7" t="s">
        <v>381</v>
      </c>
    </row>
    <row r="2" spans="1:5" ht="16" x14ac:dyDescent="0.2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</row>
    <row r="3" spans="1:5" ht="16" x14ac:dyDescent="0.2">
      <c r="A3" s="2" t="s">
        <v>155</v>
      </c>
      <c r="B3" s="3" t="s">
        <v>156</v>
      </c>
      <c r="C3" s="4">
        <v>94517</v>
      </c>
      <c r="D3" s="4">
        <v>34973869.690000348</v>
      </c>
      <c r="E3" s="5" t="s">
        <v>382</v>
      </c>
    </row>
    <row r="4" spans="1:5" ht="16" x14ac:dyDescent="0.2">
      <c r="A4" s="2" t="s">
        <v>48</v>
      </c>
      <c r="B4" s="3" t="s">
        <v>56</v>
      </c>
      <c r="C4" s="4">
        <v>4515</v>
      </c>
      <c r="D4" s="4">
        <v>2340834</v>
      </c>
      <c r="E4" s="5" t="s">
        <v>383</v>
      </c>
    </row>
    <row r="5" spans="1:5" ht="16" x14ac:dyDescent="0.2">
      <c r="A5" s="2" t="s">
        <v>50</v>
      </c>
      <c r="B5" s="3" t="s">
        <v>51</v>
      </c>
      <c r="C5" s="4">
        <v>4034</v>
      </c>
      <c r="D5" s="4">
        <v>2137785.5</v>
      </c>
      <c r="E5" s="5" t="s">
        <v>384</v>
      </c>
    </row>
    <row r="6" spans="1:5" ht="16" x14ac:dyDescent="0.2">
      <c r="A6" s="2" t="s">
        <v>52</v>
      </c>
      <c r="B6" s="3" t="s">
        <v>49</v>
      </c>
      <c r="C6" s="4">
        <v>4452</v>
      </c>
      <c r="D6" s="4">
        <v>1933578.5</v>
      </c>
      <c r="E6" s="5" t="s">
        <v>347</v>
      </c>
    </row>
    <row r="7" spans="1:5" ht="16" x14ac:dyDescent="0.2">
      <c r="A7" s="2" t="s">
        <v>54</v>
      </c>
      <c r="B7" s="3" t="s">
        <v>53</v>
      </c>
      <c r="C7" s="4">
        <v>3900</v>
      </c>
      <c r="D7" s="4">
        <v>1928388.5</v>
      </c>
      <c r="E7" s="5" t="s">
        <v>370</v>
      </c>
    </row>
    <row r="8" spans="1:5" ht="16" x14ac:dyDescent="0.2">
      <c r="A8" s="2" t="s">
        <v>55</v>
      </c>
      <c r="B8" s="3" t="s">
        <v>74</v>
      </c>
      <c r="C8" s="4">
        <v>3699</v>
      </c>
      <c r="D8" s="4">
        <v>1915738</v>
      </c>
      <c r="E8" s="5" t="s">
        <v>385</v>
      </c>
    </row>
    <row r="9" spans="1:5" ht="16" x14ac:dyDescent="0.2">
      <c r="A9" s="2" t="s">
        <v>57</v>
      </c>
      <c r="B9" s="3" t="s">
        <v>2</v>
      </c>
      <c r="C9" s="4">
        <v>3730</v>
      </c>
      <c r="D9" s="4">
        <v>1859514</v>
      </c>
      <c r="E9" s="5" t="s">
        <v>386</v>
      </c>
    </row>
    <row r="10" spans="1:5" ht="16" x14ac:dyDescent="0.2">
      <c r="A10" s="2" t="s">
        <v>157</v>
      </c>
      <c r="B10" s="3" t="s">
        <v>58</v>
      </c>
      <c r="C10" s="4">
        <v>3682</v>
      </c>
      <c r="D10" s="4">
        <v>1608958</v>
      </c>
      <c r="E10" s="5" t="s">
        <v>364</v>
      </c>
    </row>
    <row r="11" spans="1:5" ht="16" x14ac:dyDescent="0.2">
      <c r="A11" s="2" t="s">
        <v>60</v>
      </c>
      <c r="B11" s="3" t="s">
        <v>65</v>
      </c>
      <c r="C11" s="4">
        <v>3464</v>
      </c>
      <c r="D11" s="4">
        <v>1564677</v>
      </c>
      <c r="E11" s="5" t="s">
        <v>387</v>
      </c>
    </row>
    <row r="12" spans="1:5" ht="16" x14ac:dyDescent="0.2">
      <c r="A12" s="2" t="s">
        <v>62</v>
      </c>
      <c r="B12" s="3" t="s">
        <v>63</v>
      </c>
      <c r="C12" s="4">
        <v>3409</v>
      </c>
      <c r="D12" s="4">
        <v>1542797</v>
      </c>
      <c r="E12" s="5" t="s">
        <v>352</v>
      </c>
    </row>
    <row r="13" spans="1:5" ht="16" x14ac:dyDescent="0.2">
      <c r="A13" s="2" t="s">
        <v>147</v>
      </c>
      <c r="B13" s="3" t="s">
        <v>143</v>
      </c>
      <c r="C13" s="4">
        <v>3099</v>
      </c>
      <c r="D13" s="4">
        <v>1487646.7</v>
      </c>
      <c r="E13" s="5" t="s">
        <v>388</v>
      </c>
    </row>
    <row r="14" spans="1:5" ht="16" x14ac:dyDescent="0.2">
      <c r="A14" s="2" t="s">
        <v>64</v>
      </c>
      <c r="B14" s="3" t="s">
        <v>61</v>
      </c>
      <c r="C14" s="4">
        <v>3187</v>
      </c>
      <c r="D14" s="4">
        <v>1417349.5</v>
      </c>
      <c r="E14" s="5" t="s">
        <v>371</v>
      </c>
    </row>
    <row r="15" spans="1:5" ht="16" x14ac:dyDescent="0.2">
      <c r="A15" s="2" t="s">
        <v>66</v>
      </c>
      <c r="B15" s="3" t="s">
        <v>71</v>
      </c>
      <c r="C15" s="4">
        <v>3096</v>
      </c>
      <c r="D15" s="4">
        <v>1391892.5</v>
      </c>
      <c r="E15" s="5" t="s">
        <v>389</v>
      </c>
    </row>
    <row r="16" spans="1:5" ht="16" x14ac:dyDescent="0.2">
      <c r="A16" s="2" t="s">
        <v>68</v>
      </c>
      <c r="B16" s="3" t="s">
        <v>80</v>
      </c>
      <c r="C16" s="4">
        <v>3021</v>
      </c>
      <c r="D16" s="4">
        <v>1295549</v>
      </c>
      <c r="E16" s="5" t="s">
        <v>390</v>
      </c>
    </row>
    <row r="17" spans="1:5" ht="16" x14ac:dyDescent="0.2">
      <c r="A17" s="2" t="s">
        <v>148</v>
      </c>
      <c r="B17" s="3" t="s">
        <v>4</v>
      </c>
      <c r="C17" s="4">
        <v>2873</v>
      </c>
      <c r="D17" s="4">
        <v>1281458</v>
      </c>
      <c r="E17" s="5" t="s">
        <v>353</v>
      </c>
    </row>
    <row r="18" spans="1:5" ht="16" x14ac:dyDescent="0.2">
      <c r="A18" s="2" t="s">
        <v>70</v>
      </c>
      <c r="B18" s="3" t="s">
        <v>69</v>
      </c>
      <c r="C18" s="4">
        <v>2751</v>
      </c>
      <c r="D18" s="4">
        <v>1262154</v>
      </c>
      <c r="E18" s="5" t="s">
        <v>391</v>
      </c>
    </row>
    <row r="19" spans="1:5" ht="16" x14ac:dyDescent="0.2">
      <c r="A19" s="2" t="s">
        <v>72</v>
      </c>
      <c r="B19" s="3" t="s">
        <v>3</v>
      </c>
      <c r="C19" s="4">
        <v>3356</v>
      </c>
      <c r="D19" s="4">
        <v>1244144.5</v>
      </c>
      <c r="E19" s="5" t="s">
        <v>372</v>
      </c>
    </row>
    <row r="20" spans="1:5" ht="16" x14ac:dyDescent="0.2">
      <c r="A20" s="2" t="s">
        <v>158</v>
      </c>
      <c r="B20" s="3" t="s">
        <v>191</v>
      </c>
      <c r="C20" s="4">
        <v>3645</v>
      </c>
      <c r="D20" s="4">
        <v>1238057</v>
      </c>
      <c r="E20" s="5" t="s">
        <v>372</v>
      </c>
    </row>
    <row r="21" spans="1:5" ht="16" x14ac:dyDescent="0.2">
      <c r="A21" s="2" t="s">
        <v>75</v>
      </c>
      <c r="B21" s="3" t="s">
        <v>67</v>
      </c>
      <c r="C21" s="4">
        <v>2709</v>
      </c>
      <c r="D21" s="4">
        <v>1231380.5</v>
      </c>
      <c r="E21" s="5" t="s">
        <v>330</v>
      </c>
    </row>
    <row r="22" spans="1:5" ht="16" x14ac:dyDescent="0.2">
      <c r="A22" s="2" t="s">
        <v>77</v>
      </c>
      <c r="B22" s="3" t="s">
        <v>315</v>
      </c>
      <c r="C22" s="4">
        <v>2403</v>
      </c>
      <c r="D22" s="4">
        <v>1205307.5</v>
      </c>
      <c r="E22" s="5" t="s">
        <v>354</v>
      </c>
    </row>
    <row r="23" spans="1:5" ht="16" x14ac:dyDescent="0.2">
      <c r="A23" s="2" t="s">
        <v>79</v>
      </c>
      <c r="B23" s="3" t="s">
        <v>145</v>
      </c>
      <c r="C23" s="4">
        <v>2595</v>
      </c>
      <c r="D23" s="4">
        <v>1185606</v>
      </c>
      <c r="E23" s="5" t="s">
        <v>366</v>
      </c>
    </row>
    <row r="24" spans="1:5" ht="16" x14ac:dyDescent="0.2">
      <c r="A24" s="2" t="s">
        <v>149</v>
      </c>
      <c r="B24" s="3" t="s">
        <v>78</v>
      </c>
      <c r="C24" s="4">
        <v>2222</v>
      </c>
      <c r="D24" s="4">
        <v>1137899</v>
      </c>
      <c r="E24" s="5" t="s">
        <v>287</v>
      </c>
    </row>
    <row r="25" spans="1:5" ht="16" x14ac:dyDescent="0.2">
      <c r="A25" s="2" t="s">
        <v>81</v>
      </c>
      <c r="B25" s="3" t="s">
        <v>190</v>
      </c>
      <c r="C25" s="4">
        <v>2716</v>
      </c>
      <c r="D25" s="4">
        <v>1137207</v>
      </c>
      <c r="E25" s="5" t="s">
        <v>287</v>
      </c>
    </row>
    <row r="26" spans="1:5" ht="16" x14ac:dyDescent="0.2">
      <c r="A26" s="2" t="s">
        <v>83</v>
      </c>
      <c r="B26" s="3" t="s">
        <v>89</v>
      </c>
      <c r="C26" s="4">
        <v>2551</v>
      </c>
      <c r="D26" s="4">
        <v>1127144</v>
      </c>
      <c r="E26" s="5" t="s">
        <v>314</v>
      </c>
    </row>
    <row r="27" spans="1:5" ht="16" x14ac:dyDescent="0.2">
      <c r="A27" s="2" t="s">
        <v>84</v>
      </c>
      <c r="B27" s="3" t="s">
        <v>59</v>
      </c>
      <c r="C27" s="4">
        <v>2466</v>
      </c>
      <c r="D27" s="4">
        <v>1119465.1000000001</v>
      </c>
      <c r="E27" s="5" t="s">
        <v>314</v>
      </c>
    </row>
    <row r="28" spans="1:5" ht="16" x14ac:dyDescent="0.2">
      <c r="A28" s="2" t="s">
        <v>86</v>
      </c>
      <c r="B28" s="3" t="s">
        <v>174</v>
      </c>
      <c r="C28" s="4">
        <v>2282</v>
      </c>
      <c r="D28" s="4">
        <v>1114966</v>
      </c>
      <c r="E28" s="5" t="s">
        <v>334</v>
      </c>
    </row>
    <row r="29" spans="1:5" ht="16" x14ac:dyDescent="0.2">
      <c r="A29" s="2" t="s">
        <v>88</v>
      </c>
      <c r="B29" s="3" t="s">
        <v>85</v>
      </c>
      <c r="C29" s="4">
        <v>2228</v>
      </c>
      <c r="D29" s="4">
        <v>1108247.97</v>
      </c>
      <c r="E29" s="5" t="s">
        <v>273</v>
      </c>
    </row>
    <row r="30" spans="1:5" ht="16" x14ac:dyDescent="0.2">
      <c r="A30" s="2" t="s">
        <v>90</v>
      </c>
      <c r="B30" s="3" t="s">
        <v>1</v>
      </c>
      <c r="C30" s="4">
        <v>2088</v>
      </c>
      <c r="D30" s="4">
        <v>1083013</v>
      </c>
      <c r="E30" s="5" t="s">
        <v>392</v>
      </c>
    </row>
    <row r="31" spans="1:5" ht="16" x14ac:dyDescent="0.2">
      <c r="A31" s="2" t="s">
        <v>91</v>
      </c>
      <c r="B31" s="3" t="s">
        <v>73</v>
      </c>
      <c r="C31" s="4">
        <v>2067</v>
      </c>
      <c r="D31" s="4">
        <v>1009975.4</v>
      </c>
      <c r="E31" s="5" t="s">
        <v>378</v>
      </c>
    </row>
    <row r="32" spans="1:5" ht="16" x14ac:dyDescent="0.2">
      <c r="A32" s="2" t="s">
        <v>93</v>
      </c>
      <c r="B32" s="3" t="s">
        <v>103</v>
      </c>
      <c r="C32" s="4">
        <v>1871</v>
      </c>
      <c r="D32" s="4">
        <v>1003312.5</v>
      </c>
      <c r="E32" s="5" t="s">
        <v>289</v>
      </c>
    </row>
    <row r="33" spans="1:5" ht="16" x14ac:dyDescent="0.2">
      <c r="A33" s="2" t="s">
        <v>95</v>
      </c>
      <c r="B33" s="3" t="s">
        <v>101</v>
      </c>
      <c r="C33" s="4">
        <v>2137</v>
      </c>
      <c r="D33" s="4">
        <v>1000039.5</v>
      </c>
      <c r="E33" s="5" t="s">
        <v>289</v>
      </c>
    </row>
    <row r="34" spans="1:5" ht="16" x14ac:dyDescent="0.2">
      <c r="A34" s="2" t="s">
        <v>97</v>
      </c>
      <c r="B34" s="3" t="s">
        <v>82</v>
      </c>
      <c r="C34" s="4">
        <v>2269</v>
      </c>
      <c r="D34" s="4">
        <v>991008.02</v>
      </c>
      <c r="E34" s="5" t="s">
        <v>288</v>
      </c>
    </row>
    <row r="35" spans="1:5" ht="16" x14ac:dyDescent="0.2">
      <c r="A35" s="2" t="s">
        <v>160</v>
      </c>
      <c r="B35" s="3" t="s">
        <v>146</v>
      </c>
      <c r="C35" s="4">
        <v>1992</v>
      </c>
      <c r="D35" s="4">
        <v>979093</v>
      </c>
      <c r="E35" s="5" t="s">
        <v>286</v>
      </c>
    </row>
    <row r="36" spans="1:5" ht="16" x14ac:dyDescent="0.2">
      <c r="A36" s="2" t="s">
        <v>99</v>
      </c>
      <c r="B36" s="3" t="s">
        <v>38</v>
      </c>
      <c r="C36" s="4">
        <v>2173</v>
      </c>
      <c r="D36" s="4">
        <v>963741.5</v>
      </c>
      <c r="E36" s="5" t="s">
        <v>271</v>
      </c>
    </row>
    <row r="37" spans="1:5" ht="16" x14ac:dyDescent="0.2">
      <c r="A37" s="2" t="s">
        <v>161</v>
      </c>
      <c r="B37" s="3" t="s">
        <v>87</v>
      </c>
      <c r="C37" s="4">
        <v>1915</v>
      </c>
      <c r="D37" s="4">
        <v>959940</v>
      </c>
      <c r="E37" s="5" t="s">
        <v>293</v>
      </c>
    </row>
    <row r="38" spans="1:5" ht="16" x14ac:dyDescent="0.2">
      <c r="A38" s="2" t="s">
        <v>102</v>
      </c>
      <c r="B38" s="3" t="s">
        <v>5</v>
      </c>
      <c r="C38" s="4">
        <v>1754</v>
      </c>
      <c r="D38" s="4">
        <v>927057</v>
      </c>
      <c r="E38" s="5" t="s">
        <v>317</v>
      </c>
    </row>
    <row r="39" spans="1:5" ht="16" x14ac:dyDescent="0.2">
      <c r="A39" s="2" t="s">
        <v>104</v>
      </c>
      <c r="B39" s="3" t="s">
        <v>105</v>
      </c>
      <c r="C39" s="4">
        <v>2585</v>
      </c>
      <c r="D39" s="4">
        <v>923262</v>
      </c>
      <c r="E39" s="5" t="s">
        <v>317</v>
      </c>
    </row>
    <row r="40" spans="1:5" ht="16" x14ac:dyDescent="0.2">
      <c r="A40" s="2" t="s">
        <v>106</v>
      </c>
      <c r="B40" s="3" t="s">
        <v>39</v>
      </c>
      <c r="C40" s="4">
        <v>2172</v>
      </c>
      <c r="D40" s="4">
        <v>911650</v>
      </c>
      <c r="E40" s="5" t="s">
        <v>373</v>
      </c>
    </row>
    <row r="41" spans="1:5" ht="16" x14ac:dyDescent="0.2">
      <c r="A41" s="2" t="s">
        <v>108</v>
      </c>
      <c r="B41" s="3" t="s">
        <v>94</v>
      </c>
      <c r="C41" s="4">
        <v>2026</v>
      </c>
      <c r="D41" s="4">
        <v>904865</v>
      </c>
      <c r="E41" s="5" t="s">
        <v>324</v>
      </c>
    </row>
    <row r="42" spans="1:5" ht="16" x14ac:dyDescent="0.2">
      <c r="A42" s="2" t="s">
        <v>110</v>
      </c>
      <c r="B42" s="3" t="s">
        <v>111</v>
      </c>
      <c r="C42" s="4">
        <v>1780</v>
      </c>
      <c r="D42" s="4">
        <v>896776.07</v>
      </c>
      <c r="E42" s="5" t="s">
        <v>281</v>
      </c>
    </row>
    <row r="43" spans="1:5" ht="16" x14ac:dyDescent="0.2">
      <c r="A43" s="2" t="s">
        <v>112</v>
      </c>
      <c r="B43" s="3" t="s">
        <v>37</v>
      </c>
      <c r="C43" s="4">
        <v>3006</v>
      </c>
      <c r="D43" s="4">
        <v>865000</v>
      </c>
      <c r="E43" s="5" t="s">
        <v>294</v>
      </c>
    </row>
    <row r="44" spans="1:5" ht="16" x14ac:dyDescent="0.2">
      <c r="A44" s="2" t="s">
        <v>113</v>
      </c>
      <c r="B44" s="3" t="s">
        <v>100</v>
      </c>
      <c r="C44" s="4">
        <v>1873</v>
      </c>
      <c r="D44" s="4">
        <v>829295</v>
      </c>
      <c r="E44" s="5" t="s">
        <v>237</v>
      </c>
    </row>
    <row r="45" spans="1:5" ht="16" x14ac:dyDescent="0.2">
      <c r="A45" s="2" t="s">
        <v>115</v>
      </c>
      <c r="B45" s="3" t="s">
        <v>96</v>
      </c>
      <c r="C45" s="4">
        <v>1688</v>
      </c>
      <c r="D45" s="4">
        <v>784416</v>
      </c>
      <c r="E45" s="5" t="s">
        <v>393</v>
      </c>
    </row>
    <row r="46" spans="1:5" ht="16" x14ac:dyDescent="0.2">
      <c r="A46" s="2" t="s">
        <v>117</v>
      </c>
      <c r="B46" s="3" t="s">
        <v>122</v>
      </c>
      <c r="C46" s="4">
        <v>1488</v>
      </c>
      <c r="D46" s="4">
        <v>777635.6</v>
      </c>
      <c r="E46" s="5" t="s">
        <v>233</v>
      </c>
    </row>
    <row r="47" spans="1:5" ht="16" x14ac:dyDescent="0.2">
      <c r="A47" s="2" t="s">
        <v>150</v>
      </c>
      <c r="B47" s="3" t="s">
        <v>114</v>
      </c>
      <c r="C47" s="4">
        <v>1861</v>
      </c>
      <c r="D47" s="4">
        <v>774191.5</v>
      </c>
      <c r="E47" s="5" t="s">
        <v>233</v>
      </c>
    </row>
    <row r="48" spans="1:5" ht="16" x14ac:dyDescent="0.2">
      <c r="A48" s="2" t="s">
        <v>118</v>
      </c>
      <c r="B48" s="3" t="s">
        <v>92</v>
      </c>
      <c r="C48" s="4">
        <v>1607</v>
      </c>
      <c r="D48" s="4">
        <v>725003</v>
      </c>
      <c r="E48" s="5" t="s">
        <v>285</v>
      </c>
    </row>
    <row r="49" spans="1:5" ht="16" x14ac:dyDescent="0.2">
      <c r="A49" s="2" t="s">
        <v>120</v>
      </c>
      <c r="B49" s="3" t="s">
        <v>172</v>
      </c>
      <c r="C49" s="4">
        <v>1547</v>
      </c>
      <c r="D49" s="4">
        <v>715645.31</v>
      </c>
      <c r="E49" s="5" t="s">
        <v>318</v>
      </c>
    </row>
    <row r="50" spans="1:5" ht="16" x14ac:dyDescent="0.2">
      <c r="A50" s="2" t="s">
        <v>121</v>
      </c>
      <c r="B50" s="3" t="s">
        <v>109</v>
      </c>
      <c r="C50" s="4">
        <v>1568</v>
      </c>
      <c r="D50" s="4">
        <v>684843</v>
      </c>
      <c r="E50" s="5" t="s">
        <v>319</v>
      </c>
    </row>
    <row r="51" spans="1:5" ht="16" x14ac:dyDescent="0.2">
      <c r="A51" s="2" t="s">
        <v>123</v>
      </c>
      <c r="B51" s="3" t="s">
        <v>98</v>
      </c>
      <c r="C51" s="4">
        <v>1516</v>
      </c>
      <c r="D51" s="4">
        <v>680779</v>
      </c>
      <c r="E51" s="5" t="s">
        <v>319</v>
      </c>
    </row>
    <row r="52" spans="1:5" ht="16" x14ac:dyDescent="0.2">
      <c r="A52" s="2" t="s">
        <v>124</v>
      </c>
      <c r="B52" s="3" t="s">
        <v>171</v>
      </c>
      <c r="C52" s="4">
        <v>2379</v>
      </c>
      <c r="D52" s="4">
        <v>678625</v>
      </c>
      <c r="E52" s="5" t="s">
        <v>319</v>
      </c>
    </row>
    <row r="53" spans="1:5" ht="16" x14ac:dyDescent="0.2">
      <c r="A53" s="2" t="s">
        <v>126</v>
      </c>
      <c r="B53" s="3" t="s">
        <v>107</v>
      </c>
      <c r="C53" s="4">
        <v>1338</v>
      </c>
      <c r="D53" s="4">
        <v>675738.5</v>
      </c>
      <c r="E53" s="5" t="s">
        <v>205</v>
      </c>
    </row>
    <row r="54" spans="1:5" ht="16" x14ac:dyDescent="0.2">
      <c r="A54" s="2" t="s">
        <v>128</v>
      </c>
      <c r="B54" s="3" t="s">
        <v>263</v>
      </c>
      <c r="C54" s="4">
        <v>1938</v>
      </c>
      <c r="D54" s="4">
        <v>661835</v>
      </c>
      <c r="E54" s="5" t="s">
        <v>245</v>
      </c>
    </row>
    <row r="55" spans="1:5" ht="16" x14ac:dyDescent="0.2">
      <c r="A55" s="2" t="s">
        <v>163</v>
      </c>
      <c r="B55" s="3" t="s">
        <v>144</v>
      </c>
      <c r="C55" s="4">
        <v>1276</v>
      </c>
      <c r="D55" s="4">
        <v>661646.5</v>
      </c>
      <c r="E55" s="5" t="s">
        <v>245</v>
      </c>
    </row>
    <row r="56" spans="1:5" ht="16" x14ac:dyDescent="0.2">
      <c r="A56" s="2" t="s">
        <v>130</v>
      </c>
      <c r="B56" s="3" t="s">
        <v>36</v>
      </c>
      <c r="C56" s="4">
        <v>2275</v>
      </c>
      <c r="D56" s="4">
        <v>661446</v>
      </c>
      <c r="E56" s="5" t="s">
        <v>245</v>
      </c>
    </row>
    <row r="57" spans="1:5" ht="16" x14ac:dyDescent="0.2">
      <c r="A57" s="2" t="s">
        <v>131</v>
      </c>
      <c r="B57" s="3" t="s">
        <v>116</v>
      </c>
      <c r="C57" s="4">
        <v>1595</v>
      </c>
      <c r="D57" s="4">
        <v>660040</v>
      </c>
      <c r="E57" s="5" t="s">
        <v>245</v>
      </c>
    </row>
    <row r="58" spans="1:5" ht="16" x14ac:dyDescent="0.2">
      <c r="A58" s="2" t="s">
        <v>164</v>
      </c>
      <c r="B58" s="3" t="s">
        <v>186</v>
      </c>
      <c r="C58" s="4">
        <v>1240</v>
      </c>
      <c r="D58" s="4">
        <v>596309</v>
      </c>
      <c r="E58" s="5" t="s">
        <v>394</v>
      </c>
    </row>
    <row r="59" spans="1:5" ht="16" x14ac:dyDescent="0.2">
      <c r="A59" s="2" t="s">
        <v>133</v>
      </c>
      <c r="B59" s="3" t="s">
        <v>119</v>
      </c>
      <c r="C59" s="4">
        <v>1479</v>
      </c>
      <c r="D59" s="4">
        <v>593692</v>
      </c>
      <c r="E59" s="5" t="s">
        <v>272</v>
      </c>
    </row>
    <row r="60" spans="1:5" ht="16" x14ac:dyDescent="0.2">
      <c r="A60" s="2" t="s">
        <v>165</v>
      </c>
      <c r="B60" s="3" t="s">
        <v>159</v>
      </c>
      <c r="C60" s="4">
        <v>52</v>
      </c>
      <c r="D60" s="4">
        <v>573850</v>
      </c>
      <c r="E60" s="5" t="s">
        <v>228</v>
      </c>
    </row>
    <row r="61" spans="1:5" ht="16" x14ac:dyDescent="0.2">
      <c r="A61" s="2" t="s">
        <v>134</v>
      </c>
      <c r="B61" s="3" t="s">
        <v>325</v>
      </c>
      <c r="C61" s="4">
        <v>1419</v>
      </c>
      <c r="D61" s="4">
        <v>551900.5</v>
      </c>
      <c r="E61" s="5" t="s">
        <v>270</v>
      </c>
    </row>
    <row r="62" spans="1:5" ht="16" x14ac:dyDescent="0.2">
      <c r="A62" s="2" t="s">
        <v>135</v>
      </c>
      <c r="B62" s="3" t="s">
        <v>201</v>
      </c>
      <c r="C62" s="4">
        <v>1295</v>
      </c>
      <c r="D62" s="4">
        <v>543073</v>
      </c>
      <c r="E62" s="5" t="s">
        <v>193</v>
      </c>
    </row>
    <row r="63" spans="1:5" ht="16" x14ac:dyDescent="0.2">
      <c r="A63" s="2" t="s">
        <v>136</v>
      </c>
      <c r="B63" s="3" t="s">
        <v>40</v>
      </c>
      <c r="C63" s="4">
        <v>1292</v>
      </c>
      <c r="D63" s="4">
        <v>538724</v>
      </c>
      <c r="E63" s="5" t="s">
        <v>368</v>
      </c>
    </row>
    <row r="64" spans="1:5" ht="16" x14ac:dyDescent="0.2">
      <c r="A64" s="2" t="s">
        <v>137</v>
      </c>
      <c r="B64" s="3" t="s">
        <v>162</v>
      </c>
      <c r="C64" s="4">
        <v>12</v>
      </c>
      <c r="D64" s="4">
        <v>536800</v>
      </c>
      <c r="E64" s="5" t="s">
        <v>368</v>
      </c>
    </row>
    <row r="65" spans="1:5" ht="16" x14ac:dyDescent="0.2">
      <c r="A65" s="2" t="s">
        <v>166</v>
      </c>
      <c r="B65" s="3" t="s">
        <v>204</v>
      </c>
      <c r="C65" s="4">
        <v>703</v>
      </c>
      <c r="D65" s="4">
        <v>531105</v>
      </c>
      <c r="E65" s="5" t="s">
        <v>368</v>
      </c>
    </row>
    <row r="66" spans="1:5" ht="16" x14ac:dyDescent="0.2">
      <c r="A66" s="2" t="s">
        <v>138</v>
      </c>
      <c r="B66" s="3" t="s">
        <v>127</v>
      </c>
      <c r="C66" s="4">
        <v>1030</v>
      </c>
      <c r="D66" s="4">
        <v>479331.67</v>
      </c>
      <c r="E66" s="5" t="s">
        <v>231</v>
      </c>
    </row>
    <row r="67" spans="1:5" ht="16" x14ac:dyDescent="0.2">
      <c r="A67" s="2" t="s">
        <v>151</v>
      </c>
      <c r="B67" s="3" t="s">
        <v>167</v>
      </c>
      <c r="C67" s="4">
        <v>907</v>
      </c>
      <c r="D67" s="4">
        <v>452762</v>
      </c>
      <c r="E67" s="5" t="s">
        <v>260</v>
      </c>
    </row>
    <row r="68" spans="1:5" ht="16" x14ac:dyDescent="0.2">
      <c r="A68" s="2" t="s">
        <v>139</v>
      </c>
      <c r="B68" s="3" t="s">
        <v>129</v>
      </c>
      <c r="C68" s="4">
        <v>1040</v>
      </c>
      <c r="D68" s="4">
        <v>451737</v>
      </c>
      <c r="E68" s="5" t="s">
        <v>260</v>
      </c>
    </row>
    <row r="69" spans="1:5" ht="16" x14ac:dyDescent="0.2">
      <c r="A69" s="2" t="s">
        <v>152</v>
      </c>
      <c r="B69" s="3" t="s">
        <v>125</v>
      </c>
      <c r="C69" s="4">
        <v>913</v>
      </c>
      <c r="D69" s="4">
        <v>447195</v>
      </c>
      <c r="E69" s="5" t="s">
        <v>260</v>
      </c>
    </row>
    <row r="70" spans="1:5" ht="16" x14ac:dyDescent="0.2">
      <c r="A70" s="2" t="s">
        <v>154</v>
      </c>
      <c r="B70" s="3" t="s">
        <v>264</v>
      </c>
      <c r="C70" s="4">
        <v>1162</v>
      </c>
      <c r="D70" s="4">
        <v>432259</v>
      </c>
      <c r="E70" s="5" t="s">
        <v>261</v>
      </c>
    </row>
    <row r="71" spans="1:5" ht="16" x14ac:dyDescent="0.2">
      <c r="A71" s="2" t="s">
        <v>168</v>
      </c>
      <c r="B71" s="3" t="s">
        <v>153</v>
      </c>
      <c r="C71" s="4">
        <v>1005</v>
      </c>
      <c r="D71" s="4">
        <v>412129</v>
      </c>
      <c r="E71" s="5" t="s">
        <v>258</v>
      </c>
    </row>
    <row r="72" spans="1:5" ht="16" x14ac:dyDescent="0.2">
      <c r="A72" s="2" t="s">
        <v>169</v>
      </c>
      <c r="B72" s="3" t="s">
        <v>132</v>
      </c>
      <c r="C72" s="4">
        <v>836</v>
      </c>
      <c r="D72" s="4">
        <v>377115</v>
      </c>
      <c r="E72" s="5" t="s">
        <v>374</v>
      </c>
    </row>
    <row r="73" spans="1:5" ht="16" x14ac:dyDescent="0.2">
      <c r="A73" s="2" t="s">
        <v>175</v>
      </c>
      <c r="B73" s="3" t="s">
        <v>204</v>
      </c>
      <c r="C73" s="4">
        <v>1006</v>
      </c>
      <c r="D73" s="4">
        <v>337168</v>
      </c>
      <c r="E73" s="5" t="s">
        <v>379</v>
      </c>
    </row>
    <row r="74" spans="1:5" ht="16" x14ac:dyDescent="0.2">
      <c r="A74" s="2" t="s">
        <v>176</v>
      </c>
      <c r="B74" s="3" t="s">
        <v>344</v>
      </c>
      <c r="C74" s="4">
        <v>981</v>
      </c>
      <c r="D74" s="4">
        <v>298975</v>
      </c>
      <c r="E74" s="5" t="s">
        <v>350</v>
      </c>
    </row>
    <row r="75" spans="1:5" ht="16" x14ac:dyDescent="0.2">
      <c r="A75" s="2" t="s">
        <v>177</v>
      </c>
      <c r="B75" s="3" t="s">
        <v>276</v>
      </c>
      <c r="C75" s="4">
        <v>611</v>
      </c>
      <c r="D75" s="4">
        <v>222535</v>
      </c>
      <c r="E75" s="5" t="s">
        <v>395</v>
      </c>
    </row>
    <row r="76" spans="1:5" ht="16" x14ac:dyDescent="0.2">
      <c r="A76" s="2" t="s">
        <v>179</v>
      </c>
      <c r="B76" s="3" t="s">
        <v>7</v>
      </c>
      <c r="C76" s="4">
        <v>667</v>
      </c>
      <c r="D76" s="4">
        <v>214256</v>
      </c>
      <c r="E76" s="5" t="s">
        <v>337</v>
      </c>
    </row>
    <row r="77" spans="1:5" ht="16" x14ac:dyDescent="0.2">
      <c r="A77" s="2" t="s">
        <v>180</v>
      </c>
      <c r="B77" s="3" t="s">
        <v>6</v>
      </c>
      <c r="C77" s="4">
        <v>415</v>
      </c>
      <c r="D77" s="4">
        <v>207880</v>
      </c>
      <c r="E77" s="5" t="s">
        <v>337</v>
      </c>
    </row>
    <row r="78" spans="1:5" ht="16" x14ac:dyDescent="0.2">
      <c r="A78" s="2" t="s">
        <v>187</v>
      </c>
      <c r="B78" s="3" t="s">
        <v>185</v>
      </c>
      <c r="C78" s="4">
        <v>28</v>
      </c>
      <c r="D78" s="4">
        <v>205666</v>
      </c>
      <c r="E78" s="5" t="s">
        <v>337</v>
      </c>
    </row>
    <row r="79" spans="1:5" ht="16" x14ac:dyDescent="0.2">
      <c r="A79" s="2" t="s">
        <v>188</v>
      </c>
      <c r="B79" s="3" t="s">
        <v>275</v>
      </c>
      <c r="C79" s="4">
        <v>388</v>
      </c>
      <c r="D79" s="4">
        <v>132664</v>
      </c>
      <c r="E79" s="5" t="s">
        <v>339</v>
      </c>
    </row>
    <row r="80" spans="1:5" ht="16" x14ac:dyDescent="0.2">
      <c r="A80" s="2" t="s">
        <v>208</v>
      </c>
      <c r="B80" s="3" t="s">
        <v>204</v>
      </c>
      <c r="C80" s="4">
        <v>195</v>
      </c>
      <c r="D80" s="4">
        <v>72536</v>
      </c>
      <c r="E80" s="5" t="s">
        <v>327</v>
      </c>
    </row>
    <row r="81" spans="1:5" ht="16" x14ac:dyDescent="0.2">
      <c r="A81" s="2" t="s">
        <v>209</v>
      </c>
      <c r="B81" s="3" t="s">
        <v>227</v>
      </c>
      <c r="C81" s="4">
        <v>111</v>
      </c>
      <c r="D81" s="4">
        <v>27785</v>
      </c>
      <c r="E81" s="5" t="s">
        <v>280</v>
      </c>
    </row>
    <row r="82" spans="1:5" ht="16" x14ac:dyDescent="0.2">
      <c r="A82" s="2" t="s">
        <v>210</v>
      </c>
      <c r="B82" s="3" t="s">
        <v>345</v>
      </c>
      <c r="C82" s="4">
        <v>33</v>
      </c>
      <c r="D82" s="4">
        <v>27410</v>
      </c>
      <c r="E82" s="5" t="s">
        <v>280</v>
      </c>
    </row>
    <row r="83" spans="1:5" ht="16" x14ac:dyDescent="0.2">
      <c r="A83" s="2" t="s">
        <v>211</v>
      </c>
      <c r="B83" s="3" t="s">
        <v>189</v>
      </c>
      <c r="C83" s="4">
        <v>4</v>
      </c>
      <c r="D83" s="4">
        <v>24250</v>
      </c>
      <c r="E83" s="5" t="s">
        <v>363</v>
      </c>
    </row>
    <row r="84" spans="1:5" ht="16" x14ac:dyDescent="0.2">
      <c r="A84" s="2" t="s">
        <v>212</v>
      </c>
      <c r="B84" s="3" t="s">
        <v>346</v>
      </c>
      <c r="C84" s="4">
        <v>1</v>
      </c>
      <c r="D84" s="4">
        <v>2407.5</v>
      </c>
      <c r="E84" s="5" t="s">
        <v>183</v>
      </c>
    </row>
    <row r="85" spans="1:5" ht="16" x14ac:dyDescent="0.2">
      <c r="A85" s="2" t="s">
        <v>219</v>
      </c>
      <c r="B85" s="3" t="s">
        <v>184</v>
      </c>
      <c r="C85" s="4">
        <v>-1084</v>
      </c>
      <c r="D85" s="4">
        <v>-378239.62</v>
      </c>
      <c r="E85" s="5" t="s">
        <v>375</v>
      </c>
    </row>
    <row r="87" spans="1:5" ht="16" x14ac:dyDescent="0.2">
      <c r="B87" s="2" t="s">
        <v>140</v>
      </c>
      <c r="C87" s="6" t="s">
        <v>141</v>
      </c>
    </row>
    <row r="88" spans="1:5" ht="16" x14ac:dyDescent="0.2">
      <c r="B88" s="2" t="s">
        <v>142</v>
      </c>
      <c r="C88" s="6" t="s">
        <v>411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44724-EF75-E74B-96F6-0CAD014CA6F5}">
  <sheetPr codeName="Sheet3">
    <tabColor theme="1"/>
  </sheetPr>
  <dimension ref="A1:E116"/>
  <sheetViews>
    <sheetView workbookViewId="0">
      <selection activeCell="C7" sqref="C7"/>
    </sheetView>
  </sheetViews>
  <sheetFormatPr baseColWidth="10" defaultColWidth="7.5703125" defaultRowHeight="15" x14ac:dyDescent="0.15"/>
  <cols>
    <col min="1" max="5" width="17.140625" customWidth="1" collapsed="1"/>
  </cols>
  <sheetData>
    <row r="1" spans="1:5" ht="16" x14ac:dyDescent="0.2">
      <c r="A1" s="7" t="s">
        <v>412</v>
      </c>
    </row>
    <row r="2" spans="1:5" ht="16" x14ac:dyDescent="0.2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</row>
    <row r="3" spans="1:5" ht="16" x14ac:dyDescent="0.2">
      <c r="A3" s="2" t="s">
        <v>155</v>
      </c>
      <c r="B3" s="3" t="s">
        <v>156</v>
      </c>
      <c r="C3" s="4">
        <v>207728</v>
      </c>
      <c r="D3" s="4">
        <v>70453461.669984043</v>
      </c>
      <c r="E3" s="5" t="s">
        <v>413</v>
      </c>
    </row>
    <row r="4" spans="1:5" ht="16" x14ac:dyDescent="0.2">
      <c r="A4" s="2" t="s">
        <v>48</v>
      </c>
      <c r="B4" s="3" t="s">
        <v>65</v>
      </c>
      <c r="C4" s="4">
        <v>9742</v>
      </c>
      <c r="D4" s="4">
        <v>3891251.5</v>
      </c>
      <c r="E4" s="5" t="s">
        <v>414</v>
      </c>
    </row>
    <row r="5" spans="1:5" ht="16" x14ac:dyDescent="0.2">
      <c r="A5" s="2" t="s">
        <v>50</v>
      </c>
      <c r="B5" s="3" t="s">
        <v>56</v>
      </c>
      <c r="C5" s="4">
        <v>5959</v>
      </c>
      <c r="D5" s="4">
        <v>3114555</v>
      </c>
      <c r="E5" s="5" t="s">
        <v>415</v>
      </c>
    </row>
    <row r="6" spans="1:5" ht="16" x14ac:dyDescent="0.2">
      <c r="A6" s="2" t="s">
        <v>52</v>
      </c>
      <c r="B6" s="3" t="s">
        <v>74</v>
      </c>
      <c r="C6" s="4">
        <v>5547</v>
      </c>
      <c r="D6" s="4">
        <v>2831377</v>
      </c>
      <c r="E6" s="5" t="s">
        <v>416</v>
      </c>
    </row>
    <row r="7" spans="1:5" ht="16" x14ac:dyDescent="0.2">
      <c r="A7" s="2" t="s">
        <v>54</v>
      </c>
      <c r="B7" s="3" t="s">
        <v>2</v>
      </c>
      <c r="C7" s="4">
        <v>5336</v>
      </c>
      <c r="D7" s="4">
        <v>2819691.5</v>
      </c>
      <c r="E7" s="5" t="s">
        <v>416</v>
      </c>
    </row>
    <row r="8" spans="1:5" ht="16" x14ac:dyDescent="0.2">
      <c r="A8" s="2" t="s">
        <v>55</v>
      </c>
      <c r="B8" s="3" t="s">
        <v>82</v>
      </c>
      <c r="C8" s="4">
        <v>5117</v>
      </c>
      <c r="D8" s="4">
        <v>2386873.4</v>
      </c>
      <c r="E8" s="5" t="s">
        <v>417</v>
      </c>
    </row>
    <row r="9" spans="1:5" ht="16" x14ac:dyDescent="0.2">
      <c r="A9" s="2" t="s">
        <v>57</v>
      </c>
      <c r="B9" s="3" t="s">
        <v>53</v>
      </c>
      <c r="C9" s="4">
        <v>4592</v>
      </c>
      <c r="D9" s="4">
        <v>2359471</v>
      </c>
      <c r="E9" s="5" t="s">
        <v>418</v>
      </c>
    </row>
    <row r="10" spans="1:5" ht="16" x14ac:dyDescent="0.2">
      <c r="A10" s="2" t="s">
        <v>157</v>
      </c>
      <c r="B10" s="3" t="s">
        <v>49</v>
      </c>
      <c r="C10" s="4">
        <v>4452</v>
      </c>
      <c r="D10" s="4">
        <v>2268063.5</v>
      </c>
      <c r="E10" s="5" t="s">
        <v>419</v>
      </c>
    </row>
    <row r="11" spans="1:5" ht="16" x14ac:dyDescent="0.2">
      <c r="A11" s="2" t="s">
        <v>60</v>
      </c>
      <c r="B11" s="3" t="s">
        <v>63</v>
      </c>
      <c r="C11" s="4">
        <v>4756</v>
      </c>
      <c r="D11" s="4">
        <v>2256219</v>
      </c>
      <c r="E11" s="5" t="s">
        <v>420</v>
      </c>
    </row>
    <row r="12" spans="1:5" ht="16" x14ac:dyDescent="0.2">
      <c r="A12" s="2" t="s">
        <v>62</v>
      </c>
      <c r="B12" s="3" t="s">
        <v>241</v>
      </c>
      <c r="C12" s="4">
        <v>4650</v>
      </c>
      <c r="D12" s="4">
        <v>2149267.2999999998</v>
      </c>
      <c r="E12" s="5" t="s">
        <v>372</v>
      </c>
    </row>
    <row r="13" spans="1:5" ht="16" x14ac:dyDescent="0.2">
      <c r="A13" s="2" t="s">
        <v>147</v>
      </c>
      <c r="B13" s="3" t="s">
        <v>4</v>
      </c>
      <c r="C13" s="4">
        <v>4253</v>
      </c>
      <c r="D13" s="4">
        <v>2082965</v>
      </c>
      <c r="E13" s="5" t="s">
        <v>421</v>
      </c>
    </row>
    <row r="14" spans="1:5" ht="16" x14ac:dyDescent="0.2">
      <c r="A14" s="2" t="s">
        <v>64</v>
      </c>
      <c r="B14" s="3" t="s">
        <v>143</v>
      </c>
      <c r="C14" s="4">
        <v>4261</v>
      </c>
      <c r="D14" s="4">
        <v>2062091.3</v>
      </c>
      <c r="E14" s="5" t="s">
        <v>366</v>
      </c>
    </row>
    <row r="15" spans="1:5" ht="16" x14ac:dyDescent="0.2">
      <c r="A15" s="2" t="s">
        <v>66</v>
      </c>
      <c r="B15" s="3" t="s">
        <v>67</v>
      </c>
      <c r="C15" s="4">
        <v>3853</v>
      </c>
      <c r="D15" s="4">
        <v>2022506.5</v>
      </c>
      <c r="E15" s="5" t="s">
        <v>326</v>
      </c>
    </row>
    <row r="16" spans="1:5" ht="16" x14ac:dyDescent="0.2">
      <c r="A16" s="2" t="s">
        <v>68</v>
      </c>
      <c r="B16" s="3" t="s">
        <v>58</v>
      </c>
      <c r="C16" s="4">
        <v>4285</v>
      </c>
      <c r="D16" s="4">
        <v>2016731.5</v>
      </c>
      <c r="E16" s="5" t="s">
        <v>326</v>
      </c>
    </row>
    <row r="17" spans="1:5" ht="16" x14ac:dyDescent="0.2">
      <c r="A17" s="2" t="s">
        <v>148</v>
      </c>
      <c r="B17" s="3" t="s">
        <v>61</v>
      </c>
      <c r="C17" s="4">
        <v>4192</v>
      </c>
      <c r="D17" s="4">
        <v>1970206.5</v>
      </c>
      <c r="E17" s="5" t="s">
        <v>287</v>
      </c>
    </row>
    <row r="18" spans="1:5" ht="16" x14ac:dyDescent="0.2">
      <c r="A18" s="2" t="s">
        <v>70</v>
      </c>
      <c r="B18" s="3" t="s">
        <v>94</v>
      </c>
      <c r="C18" s="4">
        <v>3450</v>
      </c>
      <c r="D18" s="4">
        <v>1781078</v>
      </c>
      <c r="E18" s="5" t="s">
        <v>377</v>
      </c>
    </row>
    <row r="19" spans="1:5" ht="16" x14ac:dyDescent="0.2">
      <c r="A19" s="2" t="s">
        <v>72</v>
      </c>
      <c r="B19" s="3" t="s">
        <v>174</v>
      </c>
      <c r="C19" s="4">
        <v>3430</v>
      </c>
      <c r="D19" s="4">
        <v>1764064</v>
      </c>
      <c r="E19" s="5" t="s">
        <v>422</v>
      </c>
    </row>
    <row r="20" spans="1:5" ht="16" x14ac:dyDescent="0.2">
      <c r="A20" s="2" t="s">
        <v>158</v>
      </c>
      <c r="B20" s="3" t="s">
        <v>89</v>
      </c>
      <c r="C20" s="4">
        <v>3573</v>
      </c>
      <c r="D20" s="4">
        <v>1746889</v>
      </c>
      <c r="E20" s="5" t="s">
        <v>378</v>
      </c>
    </row>
    <row r="21" spans="1:5" ht="16" x14ac:dyDescent="0.2">
      <c r="A21" s="2" t="s">
        <v>75</v>
      </c>
      <c r="B21" s="3" t="s">
        <v>71</v>
      </c>
      <c r="C21" s="4">
        <v>3731</v>
      </c>
      <c r="D21" s="4">
        <v>1743387</v>
      </c>
      <c r="E21" s="5" t="s">
        <v>378</v>
      </c>
    </row>
    <row r="22" spans="1:5" ht="16" x14ac:dyDescent="0.2">
      <c r="A22" s="2" t="s">
        <v>77</v>
      </c>
      <c r="B22" s="3" t="s">
        <v>78</v>
      </c>
      <c r="C22" s="4">
        <v>3404</v>
      </c>
      <c r="D22" s="4">
        <v>1712255</v>
      </c>
      <c r="E22" s="5" t="s">
        <v>288</v>
      </c>
    </row>
    <row r="23" spans="1:5" ht="16" x14ac:dyDescent="0.2">
      <c r="A23" s="2" t="s">
        <v>79</v>
      </c>
      <c r="B23" s="3" t="s">
        <v>101</v>
      </c>
      <c r="C23" s="4">
        <v>3471</v>
      </c>
      <c r="D23" s="4">
        <v>1705924</v>
      </c>
      <c r="E23" s="5" t="s">
        <v>288</v>
      </c>
    </row>
    <row r="24" spans="1:5" ht="16" x14ac:dyDescent="0.2">
      <c r="A24" s="2" t="s">
        <v>149</v>
      </c>
      <c r="B24" s="3" t="s">
        <v>190</v>
      </c>
      <c r="C24" s="4">
        <v>4623</v>
      </c>
      <c r="D24" s="4">
        <v>1689429</v>
      </c>
      <c r="E24" s="5" t="s">
        <v>286</v>
      </c>
    </row>
    <row r="25" spans="1:5" ht="16" x14ac:dyDescent="0.2">
      <c r="A25" s="2" t="s">
        <v>81</v>
      </c>
      <c r="B25" s="3" t="s">
        <v>69</v>
      </c>
      <c r="C25" s="4">
        <v>3503</v>
      </c>
      <c r="D25" s="4">
        <v>1678019</v>
      </c>
      <c r="E25" s="5" t="s">
        <v>271</v>
      </c>
    </row>
    <row r="26" spans="1:5" ht="16" x14ac:dyDescent="0.2">
      <c r="A26" s="2" t="s">
        <v>83</v>
      </c>
      <c r="B26" s="3" t="s">
        <v>80</v>
      </c>
      <c r="C26" s="4">
        <v>3752</v>
      </c>
      <c r="D26" s="4">
        <v>1672208.5</v>
      </c>
      <c r="E26" s="5" t="s">
        <v>271</v>
      </c>
    </row>
    <row r="27" spans="1:5" ht="16" x14ac:dyDescent="0.2">
      <c r="A27" s="2" t="s">
        <v>84</v>
      </c>
      <c r="B27" s="3" t="s">
        <v>146</v>
      </c>
      <c r="C27" s="4">
        <v>3314</v>
      </c>
      <c r="D27" s="4">
        <v>1630273</v>
      </c>
      <c r="E27" s="5" t="s">
        <v>316</v>
      </c>
    </row>
    <row r="28" spans="1:5" ht="16" x14ac:dyDescent="0.2">
      <c r="A28" s="2" t="s">
        <v>86</v>
      </c>
      <c r="B28" s="3" t="s">
        <v>145</v>
      </c>
      <c r="C28" s="4">
        <v>3406</v>
      </c>
      <c r="D28" s="4">
        <v>1627576</v>
      </c>
      <c r="E28" s="5" t="s">
        <v>423</v>
      </c>
    </row>
    <row r="29" spans="1:5" ht="16" x14ac:dyDescent="0.2">
      <c r="A29" s="2" t="s">
        <v>88</v>
      </c>
      <c r="B29" s="3" t="s">
        <v>315</v>
      </c>
      <c r="C29" s="4">
        <v>3097</v>
      </c>
      <c r="D29" s="4">
        <v>1618522</v>
      </c>
      <c r="E29" s="5" t="s">
        <v>423</v>
      </c>
    </row>
    <row r="30" spans="1:5" ht="16" x14ac:dyDescent="0.2">
      <c r="A30" s="2" t="s">
        <v>90</v>
      </c>
      <c r="B30" s="3" t="s">
        <v>172</v>
      </c>
      <c r="C30" s="4">
        <v>3072</v>
      </c>
      <c r="D30" s="4">
        <v>1583872.5</v>
      </c>
      <c r="E30" s="5" t="s">
        <v>373</v>
      </c>
    </row>
    <row r="31" spans="1:5" ht="16" x14ac:dyDescent="0.2">
      <c r="A31" s="2" t="s">
        <v>91</v>
      </c>
      <c r="B31" s="3" t="s">
        <v>38</v>
      </c>
      <c r="C31" s="4">
        <v>2885</v>
      </c>
      <c r="D31" s="4">
        <v>1582157.0999999999</v>
      </c>
      <c r="E31" s="5" t="s">
        <v>373</v>
      </c>
    </row>
    <row r="32" spans="1:5" ht="16" x14ac:dyDescent="0.2">
      <c r="A32" s="2" t="s">
        <v>93</v>
      </c>
      <c r="B32" s="3" t="s">
        <v>59</v>
      </c>
      <c r="C32" s="4">
        <v>3092</v>
      </c>
      <c r="D32" s="4">
        <v>1514497</v>
      </c>
      <c r="E32" s="5" t="s">
        <v>424</v>
      </c>
    </row>
    <row r="33" spans="1:5" ht="16" x14ac:dyDescent="0.2">
      <c r="A33" s="2" t="s">
        <v>95</v>
      </c>
      <c r="B33" s="3" t="s">
        <v>114</v>
      </c>
      <c r="C33" s="4">
        <v>3047</v>
      </c>
      <c r="D33" s="4">
        <v>1479213</v>
      </c>
      <c r="E33" s="5" t="s">
        <v>425</v>
      </c>
    </row>
    <row r="34" spans="1:5" ht="16" x14ac:dyDescent="0.2">
      <c r="A34" s="2" t="s">
        <v>97</v>
      </c>
      <c r="B34" s="3" t="s">
        <v>122</v>
      </c>
      <c r="C34" s="4">
        <v>2928</v>
      </c>
      <c r="D34" s="4">
        <v>1472695</v>
      </c>
      <c r="E34" s="5" t="s">
        <v>425</v>
      </c>
    </row>
    <row r="35" spans="1:5" ht="16" x14ac:dyDescent="0.2">
      <c r="A35" s="2" t="s">
        <v>160</v>
      </c>
      <c r="B35" s="3" t="s">
        <v>191</v>
      </c>
      <c r="C35" s="4">
        <v>3312</v>
      </c>
      <c r="D35" s="4">
        <v>1460731</v>
      </c>
      <c r="E35" s="5" t="s">
        <v>259</v>
      </c>
    </row>
    <row r="36" spans="1:5" ht="16" x14ac:dyDescent="0.2">
      <c r="A36" s="2" t="s">
        <v>99</v>
      </c>
      <c r="B36" s="3" t="s">
        <v>217</v>
      </c>
      <c r="C36" s="4">
        <v>2995</v>
      </c>
      <c r="D36" s="4">
        <v>1428527</v>
      </c>
      <c r="E36" s="5" t="s">
        <v>348</v>
      </c>
    </row>
    <row r="37" spans="1:5" ht="16" x14ac:dyDescent="0.2">
      <c r="A37" s="2" t="s">
        <v>161</v>
      </c>
      <c r="B37" s="3" t="s">
        <v>218</v>
      </c>
      <c r="C37" s="4">
        <v>3004</v>
      </c>
      <c r="D37" s="4">
        <v>1409862</v>
      </c>
      <c r="E37" s="5" t="s">
        <v>367</v>
      </c>
    </row>
    <row r="38" spans="1:5" ht="16" x14ac:dyDescent="0.2">
      <c r="A38" s="2" t="s">
        <v>102</v>
      </c>
      <c r="B38" s="3" t="s">
        <v>96</v>
      </c>
      <c r="C38" s="4">
        <v>2738</v>
      </c>
      <c r="D38" s="4">
        <v>1384863</v>
      </c>
      <c r="E38" s="5" t="s">
        <v>426</v>
      </c>
    </row>
    <row r="39" spans="1:5" ht="16" x14ac:dyDescent="0.2">
      <c r="A39" s="2" t="s">
        <v>104</v>
      </c>
      <c r="B39" s="3" t="s">
        <v>3</v>
      </c>
      <c r="C39" s="4">
        <v>3312</v>
      </c>
      <c r="D39" s="4">
        <v>1332872.1000000001</v>
      </c>
      <c r="E39" s="5" t="s">
        <v>297</v>
      </c>
    </row>
    <row r="40" spans="1:5" ht="16" x14ac:dyDescent="0.2">
      <c r="A40" s="2" t="s">
        <v>106</v>
      </c>
      <c r="B40" s="3" t="s">
        <v>39</v>
      </c>
      <c r="C40" s="4">
        <v>2969</v>
      </c>
      <c r="D40" s="4">
        <v>1300518.5</v>
      </c>
      <c r="E40" s="5" t="s">
        <v>335</v>
      </c>
    </row>
    <row r="41" spans="1:5" ht="16" x14ac:dyDescent="0.2">
      <c r="A41" s="2" t="s">
        <v>108</v>
      </c>
      <c r="B41" s="3" t="s">
        <v>5</v>
      </c>
      <c r="C41" s="4">
        <v>2540</v>
      </c>
      <c r="D41" s="4">
        <v>1286795.5</v>
      </c>
      <c r="E41" s="5" t="s">
        <v>335</v>
      </c>
    </row>
    <row r="42" spans="1:5" ht="16" x14ac:dyDescent="0.2">
      <c r="A42" s="2" t="s">
        <v>110</v>
      </c>
      <c r="B42" s="3" t="s">
        <v>85</v>
      </c>
      <c r="C42" s="4">
        <v>2536</v>
      </c>
      <c r="D42" s="4">
        <v>1280422.3999999999</v>
      </c>
      <c r="E42" s="5" t="s">
        <v>427</v>
      </c>
    </row>
    <row r="43" spans="1:5" ht="16" x14ac:dyDescent="0.2">
      <c r="A43" s="2" t="s">
        <v>112</v>
      </c>
      <c r="B43" s="3" t="s">
        <v>103</v>
      </c>
      <c r="C43" s="4">
        <v>2221</v>
      </c>
      <c r="D43" s="4">
        <v>1239588.5</v>
      </c>
      <c r="E43" s="5" t="s">
        <v>318</v>
      </c>
    </row>
    <row r="44" spans="1:5" ht="16" x14ac:dyDescent="0.2">
      <c r="A44" s="2" t="s">
        <v>113</v>
      </c>
      <c r="B44" s="3" t="s">
        <v>100</v>
      </c>
      <c r="C44" s="4">
        <v>2526</v>
      </c>
      <c r="D44" s="4">
        <v>1231902.5</v>
      </c>
      <c r="E44" s="5" t="s">
        <v>318</v>
      </c>
    </row>
    <row r="45" spans="1:5" ht="16" x14ac:dyDescent="0.2">
      <c r="A45" s="2" t="s">
        <v>115</v>
      </c>
      <c r="B45" s="3" t="s">
        <v>111</v>
      </c>
      <c r="C45" s="4">
        <v>2321</v>
      </c>
      <c r="D45" s="4">
        <v>1194469</v>
      </c>
      <c r="E45" s="5" t="s">
        <v>358</v>
      </c>
    </row>
    <row r="46" spans="1:5" ht="16" x14ac:dyDescent="0.2">
      <c r="A46" s="2" t="s">
        <v>117</v>
      </c>
      <c r="B46" s="3" t="s">
        <v>1</v>
      </c>
      <c r="C46" s="4">
        <v>2147</v>
      </c>
      <c r="D46" s="4">
        <v>1192927.1000000001</v>
      </c>
      <c r="E46" s="5" t="s">
        <v>358</v>
      </c>
    </row>
    <row r="47" spans="1:5" ht="16" x14ac:dyDescent="0.2">
      <c r="A47" s="2" t="s">
        <v>150</v>
      </c>
      <c r="B47" s="3" t="s">
        <v>92</v>
      </c>
      <c r="C47" s="4">
        <v>2400</v>
      </c>
      <c r="D47" s="4">
        <v>1166926.5</v>
      </c>
      <c r="E47" s="5" t="s">
        <v>205</v>
      </c>
    </row>
    <row r="48" spans="1:5" ht="16" x14ac:dyDescent="0.2">
      <c r="A48" s="2" t="s">
        <v>118</v>
      </c>
      <c r="B48" s="3" t="s">
        <v>251</v>
      </c>
      <c r="C48" s="4">
        <v>2093</v>
      </c>
      <c r="D48" s="4">
        <v>1098700</v>
      </c>
      <c r="E48" s="5" t="s">
        <v>428</v>
      </c>
    </row>
    <row r="49" spans="1:5" ht="16" x14ac:dyDescent="0.2">
      <c r="A49" s="2" t="s">
        <v>120</v>
      </c>
      <c r="B49" s="3" t="s">
        <v>109</v>
      </c>
      <c r="C49" s="4">
        <v>2277</v>
      </c>
      <c r="D49" s="4">
        <v>1097035</v>
      </c>
      <c r="E49" s="5" t="s">
        <v>428</v>
      </c>
    </row>
    <row r="50" spans="1:5" ht="16" x14ac:dyDescent="0.2">
      <c r="A50" s="2" t="s">
        <v>121</v>
      </c>
      <c r="B50" s="3" t="s">
        <v>116</v>
      </c>
      <c r="C50" s="4">
        <v>2058</v>
      </c>
      <c r="D50" s="4">
        <v>1010305</v>
      </c>
      <c r="E50" s="5" t="s">
        <v>228</v>
      </c>
    </row>
    <row r="51" spans="1:5" ht="16" x14ac:dyDescent="0.2">
      <c r="A51" s="2" t="s">
        <v>123</v>
      </c>
      <c r="B51" s="3" t="s">
        <v>240</v>
      </c>
      <c r="C51" s="4">
        <v>2219</v>
      </c>
      <c r="D51" s="4">
        <v>1000919</v>
      </c>
      <c r="E51" s="5" t="s">
        <v>228</v>
      </c>
    </row>
    <row r="52" spans="1:5" ht="16" x14ac:dyDescent="0.2">
      <c r="A52" s="2" t="s">
        <v>124</v>
      </c>
      <c r="B52" s="3" t="s">
        <v>238</v>
      </c>
      <c r="C52" s="4">
        <v>2279</v>
      </c>
      <c r="D52" s="4">
        <v>997206</v>
      </c>
      <c r="E52" s="5" t="s">
        <v>228</v>
      </c>
    </row>
    <row r="53" spans="1:5" ht="16" x14ac:dyDescent="0.2">
      <c r="A53" s="2" t="s">
        <v>126</v>
      </c>
      <c r="B53" s="3" t="s">
        <v>144</v>
      </c>
      <c r="C53" s="4">
        <v>1916</v>
      </c>
      <c r="D53" s="4">
        <v>993016</v>
      </c>
      <c r="E53" s="5" t="s">
        <v>228</v>
      </c>
    </row>
    <row r="54" spans="1:5" ht="16" x14ac:dyDescent="0.2">
      <c r="A54" s="2" t="s">
        <v>128</v>
      </c>
      <c r="B54" s="3" t="s">
        <v>51</v>
      </c>
      <c r="C54" s="4">
        <v>1785</v>
      </c>
      <c r="D54" s="4">
        <v>945210</v>
      </c>
      <c r="E54" s="5" t="s">
        <v>193</v>
      </c>
    </row>
    <row r="55" spans="1:5" ht="16" x14ac:dyDescent="0.2">
      <c r="A55" s="2" t="s">
        <v>163</v>
      </c>
      <c r="B55" s="3" t="s">
        <v>185</v>
      </c>
      <c r="C55" s="4">
        <v>3188</v>
      </c>
      <c r="D55" s="4">
        <v>933132.90000000014</v>
      </c>
      <c r="E55" s="5" t="s">
        <v>368</v>
      </c>
    </row>
    <row r="56" spans="1:5" ht="16" x14ac:dyDescent="0.2">
      <c r="A56" s="2" t="s">
        <v>130</v>
      </c>
      <c r="B56" s="3" t="s">
        <v>127</v>
      </c>
      <c r="C56" s="4">
        <v>1862</v>
      </c>
      <c r="D56" s="4">
        <v>926048</v>
      </c>
      <c r="E56" s="5" t="s">
        <v>368</v>
      </c>
    </row>
    <row r="57" spans="1:5" ht="16" x14ac:dyDescent="0.2">
      <c r="A57" s="2" t="s">
        <v>131</v>
      </c>
      <c r="B57" s="3" t="s">
        <v>201</v>
      </c>
      <c r="C57" s="4">
        <v>2008</v>
      </c>
      <c r="D57" s="4">
        <v>922715</v>
      </c>
      <c r="E57" s="5" t="s">
        <v>368</v>
      </c>
    </row>
    <row r="58" spans="1:5" ht="16" x14ac:dyDescent="0.2">
      <c r="A58" s="2" t="s">
        <v>164</v>
      </c>
      <c r="B58" s="3" t="s">
        <v>105</v>
      </c>
      <c r="C58" s="4">
        <v>2201</v>
      </c>
      <c r="D58" s="4">
        <v>911020</v>
      </c>
      <c r="E58" s="5" t="s">
        <v>429</v>
      </c>
    </row>
    <row r="59" spans="1:5" ht="16" x14ac:dyDescent="0.2">
      <c r="A59" s="2" t="s">
        <v>133</v>
      </c>
      <c r="B59" s="3" t="s">
        <v>87</v>
      </c>
      <c r="C59" s="4">
        <v>1667</v>
      </c>
      <c r="D59" s="4">
        <v>910472.5</v>
      </c>
      <c r="E59" s="5" t="s">
        <v>429</v>
      </c>
    </row>
    <row r="60" spans="1:5" ht="16" x14ac:dyDescent="0.2">
      <c r="A60" s="2" t="s">
        <v>165</v>
      </c>
      <c r="B60" s="3" t="s">
        <v>159</v>
      </c>
      <c r="C60" s="4">
        <v>79</v>
      </c>
      <c r="D60" s="4">
        <v>909335</v>
      </c>
      <c r="E60" s="5" t="s">
        <v>429</v>
      </c>
    </row>
    <row r="61" spans="1:5" ht="16" x14ac:dyDescent="0.2">
      <c r="A61" s="2" t="s">
        <v>134</v>
      </c>
      <c r="B61" s="3" t="s">
        <v>40</v>
      </c>
      <c r="C61" s="4">
        <v>1926</v>
      </c>
      <c r="D61" s="4">
        <v>907348.5</v>
      </c>
      <c r="E61" s="5" t="s">
        <v>429</v>
      </c>
    </row>
    <row r="62" spans="1:5" ht="16" x14ac:dyDescent="0.2">
      <c r="A62" s="2" t="s">
        <v>135</v>
      </c>
      <c r="B62" s="3" t="s">
        <v>98</v>
      </c>
      <c r="C62" s="4">
        <v>2062</v>
      </c>
      <c r="D62" s="4">
        <v>885734.8</v>
      </c>
      <c r="E62" s="5" t="s">
        <v>278</v>
      </c>
    </row>
    <row r="63" spans="1:5" ht="16" x14ac:dyDescent="0.2">
      <c r="A63" s="2" t="s">
        <v>136</v>
      </c>
      <c r="B63" s="3" t="s">
        <v>107</v>
      </c>
      <c r="C63" s="4">
        <v>1577</v>
      </c>
      <c r="D63" s="4">
        <v>876535</v>
      </c>
      <c r="E63" s="5" t="s">
        <v>369</v>
      </c>
    </row>
    <row r="64" spans="1:5" ht="16" x14ac:dyDescent="0.2">
      <c r="A64" s="2" t="s">
        <v>137</v>
      </c>
      <c r="B64" s="3" t="s">
        <v>73</v>
      </c>
      <c r="C64" s="4">
        <v>1885</v>
      </c>
      <c r="D64" s="4">
        <v>872747</v>
      </c>
      <c r="E64" s="5" t="s">
        <v>369</v>
      </c>
    </row>
    <row r="65" spans="1:5" ht="16" x14ac:dyDescent="0.2">
      <c r="A65" s="2" t="s">
        <v>166</v>
      </c>
      <c r="B65" s="3" t="s">
        <v>202</v>
      </c>
      <c r="C65" s="4">
        <v>2010</v>
      </c>
      <c r="D65" s="4">
        <v>871402</v>
      </c>
      <c r="E65" s="5" t="s">
        <v>369</v>
      </c>
    </row>
    <row r="66" spans="1:5" ht="16" x14ac:dyDescent="0.2">
      <c r="A66" s="2" t="s">
        <v>138</v>
      </c>
      <c r="B66" s="3" t="s">
        <v>129</v>
      </c>
      <c r="C66" s="4">
        <v>1657</v>
      </c>
      <c r="D66" s="4">
        <v>832486</v>
      </c>
      <c r="E66" s="5" t="s">
        <v>231</v>
      </c>
    </row>
    <row r="67" spans="1:5" ht="16" x14ac:dyDescent="0.2">
      <c r="A67" s="2" t="s">
        <v>151</v>
      </c>
      <c r="B67" s="3" t="s">
        <v>153</v>
      </c>
      <c r="C67" s="4">
        <v>1654</v>
      </c>
      <c r="D67" s="4">
        <v>791500</v>
      </c>
      <c r="E67" s="5" t="s">
        <v>260</v>
      </c>
    </row>
    <row r="68" spans="1:5" ht="16" x14ac:dyDescent="0.2">
      <c r="A68" s="2" t="s">
        <v>139</v>
      </c>
      <c r="B68" s="3" t="s">
        <v>167</v>
      </c>
      <c r="C68" s="4">
        <v>1637</v>
      </c>
      <c r="D68" s="4">
        <v>787019</v>
      </c>
      <c r="E68" s="5" t="s">
        <v>260</v>
      </c>
    </row>
    <row r="69" spans="1:5" ht="16" x14ac:dyDescent="0.2">
      <c r="A69" s="2" t="s">
        <v>152</v>
      </c>
      <c r="B69" s="3" t="s">
        <v>125</v>
      </c>
      <c r="C69" s="4">
        <v>1559</v>
      </c>
      <c r="D69" s="4">
        <v>771809</v>
      </c>
      <c r="E69" s="5" t="s">
        <v>262</v>
      </c>
    </row>
    <row r="70" spans="1:5" ht="16" x14ac:dyDescent="0.2">
      <c r="A70" s="2" t="s">
        <v>154</v>
      </c>
      <c r="B70" s="3" t="s">
        <v>132</v>
      </c>
      <c r="C70" s="4">
        <v>1740</v>
      </c>
      <c r="D70" s="4">
        <v>769227</v>
      </c>
      <c r="E70" s="5" t="s">
        <v>262</v>
      </c>
    </row>
    <row r="71" spans="1:5" ht="16" x14ac:dyDescent="0.2">
      <c r="A71" s="2" t="s">
        <v>168</v>
      </c>
      <c r="B71" s="3" t="s">
        <v>119</v>
      </c>
      <c r="C71" s="4">
        <v>1681</v>
      </c>
      <c r="D71" s="4">
        <v>756667</v>
      </c>
      <c r="E71" s="5" t="s">
        <v>262</v>
      </c>
    </row>
    <row r="72" spans="1:5" ht="16" x14ac:dyDescent="0.2">
      <c r="A72" s="2" t="s">
        <v>169</v>
      </c>
      <c r="B72" s="3" t="s">
        <v>186</v>
      </c>
      <c r="C72" s="4">
        <v>1542</v>
      </c>
      <c r="D72" s="4">
        <v>751195.8</v>
      </c>
      <c r="E72" s="5" t="s">
        <v>261</v>
      </c>
    </row>
    <row r="73" spans="1:5" ht="16" x14ac:dyDescent="0.2">
      <c r="A73" s="2" t="s">
        <v>175</v>
      </c>
      <c r="B73" s="3" t="s">
        <v>254</v>
      </c>
      <c r="C73" s="4">
        <v>1509</v>
      </c>
      <c r="D73" s="4">
        <v>708651</v>
      </c>
      <c r="E73" s="5" t="s">
        <v>258</v>
      </c>
    </row>
    <row r="74" spans="1:5" ht="16" x14ac:dyDescent="0.2">
      <c r="A74" s="2" t="s">
        <v>176</v>
      </c>
      <c r="B74" s="3" t="s">
        <v>253</v>
      </c>
      <c r="C74" s="4">
        <v>1355</v>
      </c>
      <c r="D74" s="4">
        <v>640349</v>
      </c>
      <c r="E74" s="5" t="s">
        <v>430</v>
      </c>
    </row>
    <row r="75" spans="1:5" ht="16" x14ac:dyDescent="0.2">
      <c r="A75" s="2" t="s">
        <v>177</v>
      </c>
      <c r="B75" s="3" t="s">
        <v>282</v>
      </c>
      <c r="C75" s="4">
        <v>1396</v>
      </c>
      <c r="D75" s="4">
        <v>625967</v>
      </c>
      <c r="E75" s="5" t="s">
        <v>194</v>
      </c>
    </row>
    <row r="76" spans="1:5" ht="16" x14ac:dyDescent="0.2">
      <c r="A76" s="2" t="s">
        <v>179</v>
      </c>
      <c r="B76" s="3" t="s">
        <v>263</v>
      </c>
      <c r="C76" s="4">
        <v>1461</v>
      </c>
      <c r="D76" s="4">
        <v>593224</v>
      </c>
      <c r="E76" s="5" t="s">
        <v>359</v>
      </c>
    </row>
    <row r="77" spans="1:5" ht="16" x14ac:dyDescent="0.2">
      <c r="A77" s="2" t="s">
        <v>180</v>
      </c>
      <c r="B77" s="3" t="s">
        <v>279</v>
      </c>
      <c r="C77" s="4">
        <v>422</v>
      </c>
      <c r="D77" s="4">
        <v>583560</v>
      </c>
      <c r="E77" s="5" t="s">
        <v>379</v>
      </c>
    </row>
    <row r="78" spans="1:5" ht="16" x14ac:dyDescent="0.2">
      <c r="A78" s="2" t="s">
        <v>187</v>
      </c>
      <c r="B78" s="3" t="s">
        <v>195</v>
      </c>
      <c r="C78" s="4">
        <v>1201</v>
      </c>
      <c r="D78" s="4">
        <v>569906</v>
      </c>
      <c r="E78" s="5" t="s">
        <v>246</v>
      </c>
    </row>
    <row r="79" spans="1:5" ht="16" x14ac:dyDescent="0.2">
      <c r="A79" s="2" t="s">
        <v>188</v>
      </c>
      <c r="B79" s="3" t="s">
        <v>239</v>
      </c>
      <c r="C79" s="4">
        <v>1230</v>
      </c>
      <c r="D79" s="4">
        <v>550038</v>
      </c>
      <c r="E79" s="5" t="s">
        <v>341</v>
      </c>
    </row>
    <row r="80" spans="1:5" ht="16" x14ac:dyDescent="0.2">
      <c r="A80" s="2" t="s">
        <v>208</v>
      </c>
      <c r="B80" s="3" t="s">
        <v>235</v>
      </c>
      <c r="C80" s="4">
        <v>1034</v>
      </c>
      <c r="D80" s="4">
        <v>509529.1</v>
      </c>
      <c r="E80" s="5" t="s">
        <v>350</v>
      </c>
    </row>
    <row r="81" spans="1:5" ht="16" x14ac:dyDescent="0.2">
      <c r="A81" s="2" t="s">
        <v>209</v>
      </c>
      <c r="B81" s="3" t="s">
        <v>267</v>
      </c>
      <c r="C81" s="4">
        <v>1006</v>
      </c>
      <c r="D81" s="4">
        <v>489052.4</v>
      </c>
      <c r="E81" s="5" t="s">
        <v>431</v>
      </c>
    </row>
    <row r="82" spans="1:5" ht="16" x14ac:dyDescent="0.2">
      <c r="A82" s="2" t="s">
        <v>210</v>
      </c>
      <c r="B82" s="3" t="s">
        <v>242</v>
      </c>
      <c r="C82" s="4">
        <v>924</v>
      </c>
      <c r="D82" s="4">
        <v>476555</v>
      </c>
      <c r="E82" s="5" t="s">
        <v>298</v>
      </c>
    </row>
    <row r="83" spans="1:5" ht="16" x14ac:dyDescent="0.2">
      <c r="A83" s="2" t="s">
        <v>211</v>
      </c>
      <c r="B83" s="3" t="s">
        <v>255</v>
      </c>
      <c r="C83" s="4">
        <v>1331</v>
      </c>
      <c r="D83" s="4">
        <v>473454.5</v>
      </c>
      <c r="E83" s="5" t="s">
        <v>298</v>
      </c>
    </row>
    <row r="84" spans="1:5" ht="16" x14ac:dyDescent="0.2">
      <c r="A84" s="2" t="s">
        <v>212</v>
      </c>
      <c r="B84" s="3" t="s">
        <v>266</v>
      </c>
      <c r="C84" s="4">
        <v>999</v>
      </c>
      <c r="D84" s="4">
        <v>455907</v>
      </c>
      <c r="E84" s="5" t="s">
        <v>432</v>
      </c>
    </row>
    <row r="85" spans="1:5" ht="16" x14ac:dyDescent="0.2">
      <c r="A85" s="2" t="s">
        <v>219</v>
      </c>
      <c r="B85" s="3" t="s">
        <v>36</v>
      </c>
      <c r="C85" s="4">
        <v>1173</v>
      </c>
      <c r="D85" s="4">
        <v>409518</v>
      </c>
      <c r="E85" s="5" t="s">
        <v>331</v>
      </c>
    </row>
    <row r="86" spans="1:5" ht="16" x14ac:dyDescent="0.2">
      <c r="A86" s="2" t="s">
        <v>224</v>
      </c>
      <c r="B86" s="3" t="s">
        <v>37</v>
      </c>
      <c r="C86" s="4">
        <v>1152</v>
      </c>
      <c r="D86" s="4">
        <v>402648</v>
      </c>
      <c r="E86" s="5" t="s">
        <v>331</v>
      </c>
    </row>
    <row r="87" spans="1:5" ht="16" x14ac:dyDescent="0.2">
      <c r="A87" s="2" t="s">
        <v>225</v>
      </c>
      <c r="B87" s="3" t="s">
        <v>433</v>
      </c>
      <c r="C87" s="4">
        <v>392</v>
      </c>
      <c r="D87" s="4">
        <v>349870</v>
      </c>
      <c r="E87" s="5" t="s">
        <v>380</v>
      </c>
    </row>
    <row r="88" spans="1:5" ht="16" x14ac:dyDescent="0.2">
      <c r="A88" s="2" t="s">
        <v>226</v>
      </c>
      <c r="B88" s="3" t="s">
        <v>203</v>
      </c>
      <c r="C88" s="4">
        <v>763</v>
      </c>
      <c r="D88" s="4">
        <v>331919</v>
      </c>
      <c r="E88" s="5" t="s">
        <v>274</v>
      </c>
    </row>
    <row r="89" spans="1:5" ht="16" x14ac:dyDescent="0.2">
      <c r="A89" s="2" t="s">
        <v>243</v>
      </c>
      <c r="B89" s="3" t="s">
        <v>196</v>
      </c>
      <c r="C89" s="4">
        <v>800</v>
      </c>
      <c r="D89" s="4">
        <v>311018</v>
      </c>
      <c r="E89" s="5" t="s">
        <v>360</v>
      </c>
    </row>
    <row r="90" spans="1:5" ht="16" x14ac:dyDescent="0.2">
      <c r="A90" s="2" t="s">
        <v>244</v>
      </c>
      <c r="B90" s="3" t="s">
        <v>434</v>
      </c>
      <c r="C90" s="4">
        <v>701</v>
      </c>
      <c r="D90" s="4">
        <v>299291</v>
      </c>
      <c r="E90" s="5" t="s">
        <v>361</v>
      </c>
    </row>
    <row r="91" spans="1:5" ht="16" x14ac:dyDescent="0.2">
      <c r="A91" s="2" t="s">
        <v>247</v>
      </c>
      <c r="B91" s="3" t="s">
        <v>435</v>
      </c>
      <c r="C91" s="4">
        <v>793</v>
      </c>
      <c r="D91" s="4">
        <v>285554</v>
      </c>
      <c r="E91" s="5" t="s">
        <v>361</v>
      </c>
    </row>
    <row r="92" spans="1:5" ht="16" x14ac:dyDescent="0.2">
      <c r="A92" s="2" t="s">
        <v>248</v>
      </c>
      <c r="B92" s="3" t="s">
        <v>436</v>
      </c>
      <c r="C92" s="4">
        <v>828</v>
      </c>
      <c r="D92" s="4">
        <v>280781</v>
      </c>
      <c r="E92" s="5" t="s">
        <v>437</v>
      </c>
    </row>
    <row r="93" spans="1:5" ht="16" x14ac:dyDescent="0.2">
      <c r="A93" s="2" t="s">
        <v>249</v>
      </c>
      <c r="B93" s="3" t="s">
        <v>284</v>
      </c>
      <c r="C93" s="4">
        <v>620</v>
      </c>
      <c r="D93" s="4">
        <v>262175</v>
      </c>
      <c r="E93" s="5" t="s">
        <v>438</v>
      </c>
    </row>
    <row r="94" spans="1:5" ht="16" x14ac:dyDescent="0.2">
      <c r="A94" s="2" t="s">
        <v>256</v>
      </c>
      <c r="B94" s="3" t="s">
        <v>439</v>
      </c>
      <c r="C94" s="4">
        <v>9</v>
      </c>
      <c r="D94" s="4">
        <v>260892</v>
      </c>
      <c r="E94" s="5" t="s">
        <v>438</v>
      </c>
    </row>
    <row r="95" spans="1:5" ht="16" x14ac:dyDescent="0.2">
      <c r="A95" s="2" t="s">
        <v>257</v>
      </c>
      <c r="B95" s="3" t="s">
        <v>6</v>
      </c>
      <c r="C95" s="4">
        <v>639</v>
      </c>
      <c r="D95" s="4">
        <v>250130</v>
      </c>
      <c r="E95" s="5" t="s">
        <v>438</v>
      </c>
    </row>
    <row r="96" spans="1:5" ht="16" x14ac:dyDescent="0.2">
      <c r="A96" s="2" t="s">
        <v>301</v>
      </c>
      <c r="B96" s="3" t="s">
        <v>275</v>
      </c>
      <c r="C96" s="4">
        <v>726</v>
      </c>
      <c r="D96" s="4">
        <v>242139</v>
      </c>
      <c r="E96" s="5" t="s">
        <v>339</v>
      </c>
    </row>
    <row r="97" spans="1:5" ht="16" x14ac:dyDescent="0.2">
      <c r="A97" s="2" t="s">
        <v>302</v>
      </c>
      <c r="B97" s="3" t="s">
        <v>440</v>
      </c>
      <c r="C97" s="4">
        <v>679</v>
      </c>
      <c r="D97" s="4">
        <v>229761</v>
      </c>
      <c r="E97" s="5" t="s">
        <v>339</v>
      </c>
    </row>
    <row r="98" spans="1:5" ht="16" x14ac:dyDescent="0.2">
      <c r="A98" s="2" t="s">
        <v>303</v>
      </c>
      <c r="B98" s="3" t="s">
        <v>7</v>
      </c>
      <c r="C98" s="4">
        <v>642</v>
      </c>
      <c r="D98" s="4">
        <v>203235</v>
      </c>
      <c r="E98" s="5" t="s">
        <v>441</v>
      </c>
    </row>
    <row r="99" spans="1:5" ht="16" x14ac:dyDescent="0.2">
      <c r="A99" s="2" t="s">
        <v>304</v>
      </c>
      <c r="B99" s="3" t="s">
        <v>442</v>
      </c>
      <c r="C99" s="4">
        <v>490</v>
      </c>
      <c r="D99" s="4">
        <v>178742</v>
      </c>
      <c r="E99" s="5" t="s">
        <v>351</v>
      </c>
    </row>
    <row r="100" spans="1:5" ht="16" x14ac:dyDescent="0.2">
      <c r="A100" s="2" t="s">
        <v>305</v>
      </c>
      <c r="B100" s="3" t="s">
        <v>283</v>
      </c>
      <c r="C100" s="4">
        <v>573</v>
      </c>
      <c r="D100" s="4">
        <v>171686</v>
      </c>
      <c r="E100" s="5" t="s">
        <v>443</v>
      </c>
    </row>
    <row r="101" spans="1:5" ht="16" x14ac:dyDescent="0.2">
      <c r="A101" s="2" t="s">
        <v>321</v>
      </c>
      <c r="B101" s="3" t="s">
        <v>444</v>
      </c>
      <c r="C101" s="4">
        <v>473</v>
      </c>
      <c r="D101" s="4">
        <v>168252</v>
      </c>
      <c r="E101" s="5" t="s">
        <v>443</v>
      </c>
    </row>
    <row r="102" spans="1:5" ht="16" x14ac:dyDescent="0.2">
      <c r="A102" s="2" t="s">
        <v>322</v>
      </c>
      <c r="B102" s="3" t="s">
        <v>445</v>
      </c>
      <c r="C102" s="4">
        <v>307</v>
      </c>
      <c r="D102" s="4">
        <v>116021</v>
      </c>
      <c r="E102" s="5" t="s">
        <v>446</v>
      </c>
    </row>
    <row r="103" spans="1:5" ht="16" x14ac:dyDescent="0.2">
      <c r="A103" s="2" t="s">
        <v>323</v>
      </c>
      <c r="B103" s="3" t="s">
        <v>250</v>
      </c>
      <c r="C103" s="4">
        <v>324</v>
      </c>
      <c r="D103" s="4">
        <v>91738</v>
      </c>
      <c r="E103" s="5" t="s">
        <v>447</v>
      </c>
    </row>
    <row r="104" spans="1:5" ht="16" x14ac:dyDescent="0.2">
      <c r="A104" s="2" t="s">
        <v>332</v>
      </c>
      <c r="B104" s="3" t="s">
        <v>448</v>
      </c>
      <c r="C104" s="4">
        <v>187</v>
      </c>
      <c r="D104" s="4">
        <v>63369</v>
      </c>
      <c r="E104" s="5" t="s">
        <v>280</v>
      </c>
    </row>
    <row r="105" spans="1:5" ht="16" x14ac:dyDescent="0.2">
      <c r="A105" s="2" t="s">
        <v>333</v>
      </c>
      <c r="B105" s="3" t="s">
        <v>449</v>
      </c>
      <c r="C105" s="4">
        <v>118</v>
      </c>
      <c r="D105" s="4">
        <v>41632</v>
      </c>
      <c r="E105" s="5" t="s">
        <v>363</v>
      </c>
    </row>
    <row r="106" spans="1:5" ht="16" x14ac:dyDescent="0.2">
      <c r="A106" s="2" t="s">
        <v>342</v>
      </c>
      <c r="B106" s="3" t="s">
        <v>450</v>
      </c>
      <c r="C106" s="4">
        <v>72</v>
      </c>
      <c r="D106" s="4">
        <v>21465</v>
      </c>
      <c r="E106" s="5" t="s">
        <v>451</v>
      </c>
    </row>
    <row r="107" spans="1:5" ht="16" x14ac:dyDescent="0.2">
      <c r="A107" s="2" t="s">
        <v>343</v>
      </c>
      <c r="B107" s="3" t="s">
        <v>300</v>
      </c>
      <c r="C107" s="4">
        <v>2</v>
      </c>
      <c r="D107" s="4">
        <v>17706</v>
      </c>
      <c r="E107" s="5" t="s">
        <v>451</v>
      </c>
    </row>
    <row r="108" spans="1:5" ht="16" x14ac:dyDescent="0.2">
      <c r="A108" s="2" t="s">
        <v>452</v>
      </c>
      <c r="B108" s="3" t="s">
        <v>227</v>
      </c>
      <c r="C108" s="4">
        <v>36</v>
      </c>
      <c r="D108" s="4">
        <v>7609</v>
      </c>
      <c r="E108" s="5" t="s">
        <v>183</v>
      </c>
    </row>
    <row r="109" spans="1:5" ht="16" x14ac:dyDescent="0.2">
      <c r="A109" s="2" t="s">
        <v>453</v>
      </c>
      <c r="B109" s="3" t="s">
        <v>454</v>
      </c>
      <c r="C109" s="4">
        <v>20</v>
      </c>
      <c r="D109" s="4">
        <v>7260</v>
      </c>
      <c r="E109" s="5" t="s">
        <v>183</v>
      </c>
    </row>
    <row r="110" spans="1:5" ht="16" x14ac:dyDescent="0.2">
      <c r="A110" s="2" t="s">
        <v>455</v>
      </c>
      <c r="B110" s="3" t="s">
        <v>189</v>
      </c>
      <c r="C110" s="4">
        <v>0</v>
      </c>
      <c r="D110" s="4">
        <v>0</v>
      </c>
      <c r="E110" s="5" t="s">
        <v>183</v>
      </c>
    </row>
    <row r="111" spans="1:5" ht="16" x14ac:dyDescent="0.2">
      <c r="A111" s="2" t="s">
        <v>456</v>
      </c>
      <c r="B111" s="3" t="s">
        <v>457</v>
      </c>
      <c r="C111" s="4">
        <v>0</v>
      </c>
      <c r="D111" s="4">
        <v>0</v>
      </c>
      <c r="E111" s="5" t="s">
        <v>183</v>
      </c>
    </row>
    <row r="112" spans="1:5" ht="16" x14ac:dyDescent="0.2">
      <c r="A112" s="2" t="s">
        <v>458</v>
      </c>
      <c r="B112" s="3" t="s">
        <v>229</v>
      </c>
      <c r="C112" s="4">
        <v>-50</v>
      </c>
      <c r="D112" s="4">
        <v>-6707.03</v>
      </c>
      <c r="E112" s="5" t="s">
        <v>230</v>
      </c>
    </row>
    <row r="113" spans="1:5" ht="16" x14ac:dyDescent="0.2">
      <c r="A113" s="2" t="s">
        <v>459</v>
      </c>
      <c r="B113" s="3" t="s">
        <v>184</v>
      </c>
      <c r="C113" s="4">
        <v>-5747</v>
      </c>
      <c r="D113" s="4">
        <v>-1715382.2199999981</v>
      </c>
      <c r="E113" s="5" t="s">
        <v>460</v>
      </c>
    </row>
    <row r="115" spans="1:5" ht="16" x14ac:dyDescent="0.2">
      <c r="B115" s="2" t="s">
        <v>140</v>
      </c>
      <c r="C115" s="6" t="s">
        <v>141</v>
      </c>
    </row>
    <row r="116" spans="1:5" ht="16" x14ac:dyDescent="0.2">
      <c r="B116" s="2" t="s">
        <v>142</v>
      </c>
      <c r="C116" s="6" t="s">
        <v>461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BA9B3-849E-6F44-A759-705AF9B84B2F}">
  <sheetPr codeName="Sheet4">
    <tabColor theme="1"/>
  </sheetPr>
  <dimension ref="A1:I110"/>
  <sheetViews>
    <sheetView workbookViewId="0">
      <pane ySplit="2" topLeftCell="A3" activePane="bottomLeft" state="frozen"/>
      <selection pane="bottomLeft" activeCell="B20" sqref="B20"/>
    </sheetView>
  </sheetViews>
  <sheetFormatPr baseColWidth="10" defaultColWidth="7.5703125" defaultRowHeight="15" x14ac:dyDescent="0.15"/>
  <cols>
    <col min="1" max="1" width="17.140625" customWidth="1" collapsed="1"/>
    <col min="2" max="2" width="50.42578125" bestFit="1" customWidth="1" collapsed="1"/>
    <col min="3" max="5" width="17.140625" customWidth="1" collapsed="1"/>
    <col min="6" max="6" width="29.42578125" bestFit="1" customWidth="1"/>
    <col min="7" max="7" width="9" bestFit="1" customWidth="1"/>
    <col min="8" max="9" width="15.140625" customWidth="1"/>
  </cols>
  <sheetData>
    <row r="1" spans="1:9" ht="16" x14ac:dyDescent="0.2">
      <c r="A1" s="7" t="s">
        <v>396</v>
      </c>
    </row>
    <row r="2" spans="1:9" ht="16" x14ac:dyDescent="0.2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  <c r="H2" s="170"/>
      <c r="I2" s="170"/>
    </row>
    <row r="3" spans="1:9" ht="16" x14ac:dyDescent="0.2">
      <c r="A3" s="2" t="s">
        <v>155</v>
      </c>
      <c r="B3" s="3" t="s">
        <v>156</v>
      </c>
      <c r="C3" s="4">
        <v>188503</v>
      </c>
      <c r="D3" s="4">
        <v>63725462.930001572</v>
      </c>
      <c r="E3" s="5" t="s">
        <v>405</v>
      </c>
      <c r="H3" s="170" t="s">
        <v>463</v>
      </c>
      <c r="I3" s="170" t="s">
        <v>464</v>
      </c>
    </row>
    <row r="4" spans="1:9" ht="16" x14ac:dyDescent="0.2">
      <c r="A4" s="2" t="s">
        <v>48</v>
      </c>
      <c r="B4" s="3" t="s">
        <v>65</v>
      </c>
      <c r="C4" s="4">
        <v>7663</v>
      </c>
      <c r="D4" s="4">
        <v>2719550.5</v>
      </c>
      <c r="E4" s="5" t="s">
        <v>385</v>
      </c>
      <c r="F4" s="169" t="s">
        <v>78</v>
      </c>
      <c r="G4" s="111" cm="1">
        <f t="array" ref="G4:H4">_xlfn.XLOOKUP(F4,B:B,C:D,0,0)</f>
        <v>2400</v>
      </c>
      <c r="H4" s="111">
        <v>1198422</v>
      </c>
      <c r="I4" s="111">
        <f>H4*100/107</f>
        <v>1120020.5607476635</v>
      </c>
    </row>
    <row r="5" spans="1:9" ht="16" x14ac:dyDescent="0.2">
      <c r="A5" s="2" t="s">
        <v>50</v>
      </c>
      <c r="B5" s="3" t="s">
        <v>74</v>
      </c>
      <c r="C5" s="4">
        <v>4325</v>
      </c>
      <c r="D5" s="4">
        <v>2162196</v>
      </c>
      <c r="E5" s="5" t="s">
        <v>397</v>
      </c>
      <c r="F5" s="169" t="s">
        <v>103</v>
      </c>
      <c r="G5" s="111" cm="1">
        <f t="array" ref="G5:H5">_xlfn.XLOOKUP(F5,B:B,C:D,0,0)</f>
        <v>1779</v>
      </c>
      <c r="H5" s="111">
        <v>1027144</v>
      </c>
      <c r="I5" s="111">
        <f t="shared" ref="I5:I21" si="0">H5*100/107</f>
        <v>959947.66355140181</v>
      </c>
    </row>
    <row r="6" spans="1:9" ht="16" x14ac:dyDescent="0.2">
      <c r="A6" s="2" t="s">
        <v>52</v>
      </c>
      <c r="B6" s="3" t="s">
        <v>49</v>
      </c>
      <c r="C6" s="4">
        <v>4199</v>
      </c>
      <c r="D6" s="4">
        <v>2122760</v>
      </c>
      <c r="E6" s="5" t="s">
        <v>388</v>
      </c>
      <c r="F6" s="169" t="s">
        <v>190</v>
      </c>
      <c r="G6" s="111" cm="1">
        <f t="array" ref="G6:H6">_xlfn.XLOOKUP(F6,B:B,C:D,0,0)</f>
        <v>3837</v>
      </c>
      <c r="H6" s="111">
        <v>1474698</v>
      </c>
      <c r="I6" s="111">
        <f t="shared" si="0"/>
        <v>1378222.4299065419</v>
      </c>
    </row>
    <row r="7" spans="1:9" ht="16" x14ac:dyDescent="0.2">
      <c r="A7" s="2" t="s">
        <v>54</v>
      </c>
      <c r="B7" s="3" t="s">
        <v>53</v>
      </c>
      <c r="C7" s="4">
        <v>4026</v>
      </c>
      <c r="D7" s="4">
        <v>2076830.5</v>
      </c>
      <c r="E7" s="5" t="s">
        <v>398</v>
      </c>
      <c r="F7" s="169" t="s">
        <v>109</v>
      </c>
      <c r="G7" s="111" cm="1">
        <f t="array" ref="G7:H7">_xlfn.XLOOKUP(F7,B:B,C:D,0,0)</f>
        <v>1822</v>
      </c>
      <c r="H7" s="111">
        <v>872878</v>
      </c>
      <c r="I7" s="111">
        <f t="shared" si="0"/>
        <v>815773.83177570091</v>
      </c>
    </row>
    <row r="8" spans="1:9" ht="16" x14ac:dyDescent="0.2">
      <c r="A8" s="2" t="s">
        <v>55</v>
      </c>
      <c r="B8" s="3" t="s">
        <v>56</v>
      </c>
      <c r="C8" s="4">
        <v>4036</v>
      </c>
      <c r="D8" s="4">
        <v>2064026</v>
      </c>
      <c r="E8" s="5" t="s">
        <v>355</v>
      </c>
      <c r="F8" s="169" t="s">
        <v>1</v>
      </c>
      <c r="G8" s="111" cm="1">
        <f t="array" ref="G8:H8">_xlfn.XLOOKUP(F8,B:B,C:D,0,0)</f>
        <v>1716</v>
      </c>
      <c r="H8" s="111">
        <v>945055.2</v>
      </c>
      <c r="I8" s="111">
        <f t="shared" si="0"/>
        <v>883229.15887850465</v>
      </c>
    </row>
    <row r="9" spans="1:9" ht="16" x14ac:dyDescent="0.2">
      <c r="A9" s="2" t="s">
        <v>57</v>
      </c>
      <c r="B9" s="3" t="s">
        <v>241</v>
      </c>
      <c r="C9" s="4">
        <v>3948</v>
      </c>
      <c r="D9" s="4">
        <v>1911703.5</v>
      </c>
      <c r="E9" s="5" t="s">
        <v>365</v>
      </c>
      <c r="F9" s="169" t="s">
        <v>167</v>
      </c>
      <c r="G9" s="111" cm="1">
        <f t="array" ref="G9:H9">_xlfn.XLOOKUP(F9,B:B,C:D,0,0)</f>
        <v>1257</v>
      </c>
      <c r="H9" s="111">
        <v>629096</v>
      </c>
      <c r="I9" s="111">
        <f t="shared" si="0"/>
        <v>587940.18691588787</v>
      </c>
    </row>
    <row r="10" spans="1:9" ht="16" x14ac:dyDescent="0.2">
      <c r="A10" s="2" t="s">
        <v>157</v>
      </c>
      <c r="B10" s="3" t="s">
        <v>2</v>
      </c>
      <c r="C10" s="4">
        <v>3704</v>
      </c>
      <c r="D10" s="4">
        <v>1883097.5</v>
      </c>
      <c r="E10" s="5" t="s">
        <v>399</v>
      </c>
      <c r="F10" s="169" t="s">
        <v>129</v>
      </c>
      <c r="G10" s="111" cm="1">
        <f t="array" ref="G10:H10">_xlfn.XLOOKUP(F10,B:B,C:D,0,0)</f>
        <v>1273</v>
      </c>
      <c r="H10" s="111">
        <v>620565</v>
      </c>
      <c r="I10" s="111">
        <f t="shared" si="0"/>
        <v>579967.28971962619</v>
      </c>
    </row>
    <row r="11" spans="1:9" ht="16" x14ac:dyDescent="0.2">
      <c r="A11" s="2" t="s">
        <v>60</v>
      </c>
      <c r="B11" s="3" t="s">
        <v>143</v>
      </c>
      <c r="C11" s="4">
        <v>3517</v>
      </c>
      <c r="D11" s="4">
        <v>1740017.5</v>
      </c>
      <c r="E11" s="5" t="s">
        <v>406</v>
      </c>
      <c r="G11" s="111" cm="1">
        <f t="array" ref="G11:H11">_xlfn.XLOOKUP(F11,B:B,C:D,0,0)</f>
        <v>0</v>
      </c>
      <c r="H11" s="111">
        <v>0</v>
      </c>
      <c r="I11" s="111">
        <f t="shared" si="0"/>
        <v>0</v>
      </c>
    </row>
    <row r="12" spans="1:9" ht="16" x14ac:dyDescent="0.2">
      <c r="A12" s="2" t="s">
        <v>62</v>
      </c>
      <c r="B12" s="3" t="s">
        <v>82</v>
      </c>
      <c r="C12" s="4">
        <v>3590</v>
      </c>
      <c r="D12" s="4">
        <v>1658515.5</v>
      </c>
      <c r="E12" s="5" t="s">
        <v>326</v>
      </c>
      <c r="F12" s="169" t="s">
        <v>218</v>
      </c>
      <c r="G12" s="111" cm="1">
        <f t="array" ref="G12:H12">_xlfn.XLOOKUP(F12,B:B,C:D,0,0)</f>
        <v>2002</v>
      </c>
      <c r="H12" s="111">
        <v>907039</v>
      </c>
      <c r="I12" s="111">
        <f t="shared" si="0"/>
        <v>847700</v>
      </c>
    </row>
    <row r="13" spans="1:9" ht="16" x14ac:dyDescent="0.2">
      <c r="A13" s="2" t="s">
        <v>147</v>
      </c>
      <c r="B13" s="3" t="s">
        <v>61</v>
      </c>
      <c r="C13" s="4">
        <v>3420</v>
      </c>
      <c r="D13" s="4">
        <v>1657555</v>
      </c>
      <c r="E13" s="5" t="s">
        <v>326</v>
      </c>
      <c r="F13" s="169" t="s">
        <v>51</v>
      </c>
      <c r="G13" s="111" cm="1">
        <f t="array" ref="G13:H13">_xlfn.XLOOKUP(F13,B:B,C:D,0,0)</f>
        <v>1489</v>
      </c>
      <c r="H13" s="111">
        <v>836250</v>
      </c>
      <c r="I13" s="111">
        <f t="shared" si="0"/>
        <v>781542.05607476633</v>
      </c>
    </row>
    <row r="14" spans="1:9" ht="16" x14ac:dyDescent="0.2">
      <c r="A14" s="2" t="s">
        <v>64</v>
      </c>
      <c r="B14" s="3" t="s">
        <v>85</v>
      </c>
      <c r="C14" s="4">
        <v>3186</v>
      </c>
      <c r="D14" s="4">
        <v>1587012.43</v>
      </c>
      <c r="E14" s="5" t="s">
        <v>334</v>
      </c>
      <c r="F14" s="169" t="s">
        <v>251</v>
      </c>
      <c r="G14" s="111" cm="1">
        <f t="array" ref="G14:H14">_xlfn.XLOOKUP(F14,B:B,C:D,0,0)</f>
        <v>1396</v>
      </c>
      <c r="H14" s="111">
        <v>734037.5</v>
      </c>
      <c r="I14" s="111">
        <f t="shared" si="0"/>
        <v>686016.35514018696</v>
      </c>
    </row>
    <row r="15" spans="1:9" ht="16" x14ac:dyDescent="0.2">
      <c r="A15" s="2" t="s">
        <v>66</v>
      </c>
      <c r="B15" s="3" t="s">
        <v>58</v>
      </c>
      <c r="C15" s="4">
        <v>3365</v>
      </c>
      <c r="D15" s="4">
        <v>1577378.5</v>
      </c>
      <c r="E15" s="5" t="s">
        <v>273</v>
      </c>
      <c r="F15" s="169" t="s">
        <v>49</v>
      </c>
      <c r="G15" s="111" cm="1">
        <f t="array" ref="G15:H15">_xlfn.XLOOKUP(F15,B:B,C:D,0,0)</f>
        <v>4199</v>
      </c>
      <c r="H15" s="111">
        <v>2122760</v>
      </c>
      <c r="I15" s="111">
        <f t="shared" si="0"/>
        <v>1983887.8504672898</v>
      </c>
    </row>
    <row r="16" spans="1:9" ht="16" x14ac:dyDescent="0.2">
      <c r="A16" s="2" t="s">
        <v>68</v>
      </c>
      <c r="B16" s="3" t="s">
        <v>4</v>
      </c>
      <c r="C16" s="4">
        <v>3231</v>
      </c>
      <c r="D16" s="4">
        <v>1485188</v>
      </c>
      <c r="E16" s="5" t="s">
        <v>356</v>
      </c>
      <c r="F16" s="169" t="s">
        <v>82</v>
      </c>
      <c r="G16" s="111" cm="1">
        <f t="array" ref="G16:H16">_xlfn.XLOOKUP(F16,B:B,C:D,0,0)</f>
        <v>3590</v>
      </c>
      <c r="H16" s="111">
        <v>1658515.5</v>
      </c>
      <c r="I16" s="111">
        <f t="shared" si="0"/>
        <v>1550014.4859813084</v>
      </c>
    </row>
    <row r="17" spans="1:9" ht="16" x14ac:dyDescent="0.2">
      <c r="A17" s="2" t="s">
        <v>148</v>
      </c>
      <c r="B17" s="3" t="s">
        <v>190</v>
      </c>
      <c r="C17" s="4">
        <v>3837</v>
      </c>
      <c r="D17" s="4">
        <v>1474698</v>
      </c>
      <c r="E17" s="5" t="s">
        <v>377</v>
      </c>
      <c r="F17" s="169" t="s">
        <v>38</v>
      </c>
      <c r="G17" s="111" cm="1">
        <f t="array" ref="G17:H17">_xlfn.XLOOKUP(F17,B:B,C:D,0,0)</f>
        <v>2564</v>
      </c>
      <c r="H17" s="111">
        <v>1272433.8</v>
      </c>
      <c r="I17" s="111">
        <f t="shared" si="0"/>
        <v>1189190.4672897197</v>
      </c>
    </row>
    <row r="18" spans="1:9" ht="16" x14ac:dyDescent="0.2">
      <c r="A18" s="2" t="s">
        <v>70</v>
      </c>
      <c r="B18" s="3" t="s">
        <v>67</v>
      </c>
      <c r="C18" s="4">
        <v>2867</v>
      </c>
      <c r="D18" s="4">
        <v>1396841.5</v>
      </c>
      <c r="E18" s="5" t="s">
        <v>286</v>
      </c>
      <c r="F18" s="169" t="s">
        <v>253</v>
      </c>
      <c r="G18" s="111" cm="1">
        <f t="array" ref="G18:H18">_xlfn.XLOOKUP(F18,B:B,C:D,0,0)</f>
        <v>954</v>
      </c>
      <c r="H18" s="111">
        <v>469734.5</v>
      </c>
      <c r="I18" s="111">
        <f t="shared" si="0"/>
        <v>439004.20560747664</v>
      </c>
    </row>
    <row r="19" spans="1:9" ht="16" x14ac:dyDescent="0.2">
      <c r="A19" s="2" t="s">
        <v>72</v>
      </c>
      <c r="B19" s="3" t="s">
        <v>89</v>
      </c>
      <c r="C19" s="4">
        <v>2847</v>
      </c>
      <c r="D19" s="4">
        <v>1394894</v>
      </c>
      <c r="E19" s="5" t="s">
        <v>286</v>
      </c>
      <c r="F19" s="169" t="s">
        <v>203</v>
      </c>
      <c r="G19" s="111" cm="1">
        <f t="array" ref="G19:H19">_xlfn.XLOOKUP(F19,B:B,C:D,0,0)</f>
        <v>725</v>
      </c>
      <c r="H19" s="111">
        <v>335396</v>
      </c>
      <c r="I19" s="111">
        <f t="shared" si="0"/>
        <v>313454.20560747664</v>
      </c>
    </row>
    <row r="20" spans="1:9" ht="16" x14ac:dyDescent="0.2">
      <c r="A20" s="2" t="s">
        <v>158</v>
      </c>
      <c r="B20" s="3" t="s">
        <v>80</v>
      </c>
      <c r="C20" s="4">
        <v>2931</v>
      </c>
      <c r="D20" s="4">
        <v>1379264.5</v>
      </c>
      <c r="E20" s="5" t="s">
        <v>271</v>
      </c>
      <c r="F20" s="169" t="s">
        <v>267</v>
      </c>
      <c r="G20" s="111" cm="1">
        <f t="array" ref="G20:H20">_xlfn.XLOOKUP(F20,B:B,C:D,0,0)</f>
        <v>1435</v>
      </c>
      <c r="H20" s="111">
        <v>658331</v>
      </c>
      <c r="I20" s="111">
        <f t="shared" si="0"/>
        <v>615262.61682242993</v>
      </c>
    </row>
    <row r="21" spans="1:9" ht="16" x14ac:dyDescent="0.2">
      <c r="A21" s="2" t="s">
        <v>75</v>
      </c>
      <c r="B21" s="3" t="s">
        <v>315</v>
      </c>
      <c r="C21" s="4">
        <v>2504</v>
      </c>
      <c r="D21" s="4">
        <v>1373114</v>
      </c>
      <c r="E21" s="5" t="s">
        <v>271</v>
      </c>
      <c r="F21" s="169" t="s">
        <v>462</v>
      </c>
      <c r="G21" s="111" cm="1">
        <f t="array" ref="G21">_xlfn.XLOOKUP(F21,B:B,C:D,0,0)</f>
        <v>0</v>
      </c>
      <c r="H21" s="111"/>
      <c r="I21" s="111">
        <f t="shared" si="0"/>
        <v>0</v>
      </c>
    </row>
    <row r="22" spans="1:9" ht="16" x14ac:dyDescent="0.2">
      <c r="A22" s="2" t="s">
        <v>77</v>
      </c>
      <c r="B22" s="3" t="s">
        <v>69</v>
      </c>
      <c r="C22" s="4">
        <v>2723</v>
      </c>
      <c r="D22" s="4">
        <v>1352797.5</v>
      </c>
      <c r="E22" s="5" t="s">
        <v>316</v>
      </c>
    </row>
    <row r="23" spans="1:9" ht="16" x14ac:dyDescent="0.2">
      <c r="A23" s="2" t="s">
        <v>79</v>
      </c>
      <c r="B23" s="3" t="s">
        <v>174</v>
      </c>
      <c r="C23" s="4">
        <v>2556</v>
      </c>
      <c r="D23" s="4">
        <v>1349094.5</v>
      </c>
      <c r="E23" s="5" t="s">
        <v>316</v>
      </c>
    </row>
    <row r="24" spans="1:9" ht="16" x14ac:dyDescent="0.2">
      <c r="A24" s="2" t="s">
        <v>149</v>
      </c>
      <c r="B24" s="3" t="s">
        <v>63</v>
      </c>
      <c r="C24" s="4">
        <v>2968</v>
      </c>
      <c r="D24" s="4">
        <v>1343990.5</v>
      </c>
      <c r="E24" s="5" t="s">
        <v>316</v>
      </c>
    </row>
    <row r="25" spans="1:9" ht="16" x14ac:dyDescent="0.2">
      <c r="A25" s="2" t="s">
        <v>81</v>
      </c>
      <c r="B25" s="3" t="s">
        <v>145</v>
      </c>
      <c r="C25" s="4">
        <v>2694</v>
      </c>
      <c r="D25" s="4">
        <v>1274168</v>
      </c>
      <c r="E25" s="5" t="s">
        <v>281</v>
      </c>
    </row>
    <row r="26" spans="1:9" ht="16" x14ac:dyDescent="0.2">
      <c r="A26" s="2" t="s">
        <v>83</v>
      </c>
      <c r="B26" s="3" t="s">
        <v>38</v>
      </c>
      <c r="C26" s="4">
        <v>2564</v>
      </c>
      <c r="D26" s="4">
        <v>1272433.8</v>
      </c>
      <c r="E26" s="5" t="s">
        <v>281</v>
      </c>
    </row>
    <row r="27" spans="1:9" ht="16" x14ac:dyDescent="0.2">
      <c r="A27" s="2" t="s">
        <v>84</v>
      </c>
      <c r="B27" s="3" t="s">
        <v>78</v>
      </c>
      <c r="C27" s="4">
        <v>2400</v>
      </c>
      <c r="D27" s="4">
        <v>1198422</v>
      </c>
      <c r="E27" s="5" t="s">
        <v>259</v>
      </c>
    </row>
    <row r="28" spans="1:9" ht="16" x14ac:dyDescent="0.2">
      <c r="A28" s="2" t="s">
        <v>86</v>
      </c>
      <c r="B28" s="3" t="s">
        <v>71</v>
      </c>
      <c r="C28" s="4">
        <v>2662</v>
      </c>
      <c r="D28" s="4">
        <v>1184036</v>
      </c>
      <c r="E28" s="5" t="s">
        <v>237</v>
      </c>
    </row>
    <row r="29" spans="1:9" ht="16" x14ac:dyDescent="0.2">
      <c r="A29" s="2" t="s">
        <v>88</v>
      </c>
      <c r="B29" s="3" t="s">
        <v>94</v>
      </c>
      <c r="C29" s="4">
        <v>2359</v>
      </c>
      <c r="D29" s="4">
        <v>1162332</v>
      </c>
      <c r="E29" s="5" t="s">
        <v>348</v>
      </c>
    </row>
    <row r="30" spans="1:9" ht="16" x14ac:dyDescent="0.2">
      <c r="A30" s="2" t="s">
        <v>90</v>
      </c>
      <c r="B30" s="3" t="s">
        <v>146</v>
      </c>
      <c r="C30" s="4">
        <v>2525</v>
      </c>
      <c r="D30" s="4">
        <v>1161926</v>
      </c>
      <c r="E30" s="5" t="s">
        <v>348</v>
      </c>
    </row>
    <row r="31" spans="1:9" ht="16" x14ac:dyDescent="0.2">
      <c r="A31" s="2" t="s">
        <v>91</v>
      </c>
      <c r="B31" s="3" t="s">
        <v>101</v>
      </c>
      <c r="C31" s="4">
        <v>2394</v>
      </c>
      <c r="D31" s="4">
        <v>1156083</v>
      </c>
      <c r="E31" s="5" t="s">
        <v>367</v>
      </c>
    </row>
    <row r="32" spans="1:9" ht="16" x14ac:dyDescent="0.2">
      <c r="A32" s="2" t="s">
        <v>93</v>
      </c>
      <c r="B32" s="3" t="s">
        <v>217</v>
      </c>
      <c r="C32" s="4">
        <v>2327</v>
      </c>
      <c r="D32" s="4">
        <v>1112640</v>
      </c>
      <c r="E32" s="5" t="s">
        <v>233</v>
      </c>
    </row>
    <row r="33" spans="1:5" ht="16" x14ac:dyDescent="0.2">
      <c r="A33" s="2" t="s">
        <v>95</v>
      </c>
      <c r="B33" s="3" t="s">
        <v>59</v>
      </c>
      <c r="C33" s="4">
        <v>2317</v>
      </c>
      <c r="D33" s="4">
        <v>1100317</v>
      </c>
      <c r="E33" s="5" t="s">
        <v>297</v>
      </c>
    </row>
    <row r="34" spans="1:5" ht="16" x14ac:dyDescent="0.2">
      <c r="A34" s="2" t="s">
        <v>97</v>
      </c>
      <c r="B34" s="3" t="s">
        <v>172</v>
      </c>
      <c r="C34" s="4">
        <v>2219</v>
      </c>
      <c r="D34" s="4">
        <v>1086471</v>
      </c>
      <c r="E34" s="5" t="s">
        <v>297</v>
      </c>
    </row>
    <row r="35" spans="1:5" ht="16" x14ac:dyDescent="0.2">
      <c r="A35" s="2" t="s">
        <v>160</v>
      </c>
      <c r="B35" s="3" t="s">
        <v>240</v>
      </c>
      <c r="C35" s="4">
        <v>2237</v>
      </c>
      <c r="D35" s="4">
        <v>1083627</v>
      </c>
      <c r="E35" s="5" t="s">
        <v>357</v>
      </c>
    </row>
    <row r="36" spans="1:5" ht="16" x14ac:dyDescent="0.2">
      <c r="A36" s="2" t="s">
        <v>99</v>
      </c>
      <c r="B36" s="3" t="s">
        <v>39</v>
      </c>
      <c r="C36" s="4">
        <v>2713</v>
      </c>
      <c r="D36" s="4">
        <v>1070469</v>
      </c>
      <c r="E36" s="5" t="s">
        <v>335</v>
      </c>
    </row>
    <row r="37" spans="1:5" ht="16" x14ac:dyDescent="0.2">
      <c r="A37" s="2" t="s">
        <v>161</v>
      </c>
      <c r="B37" s="3" t="s">
        <v>159</v>
      </c>
      <c r="C37" s="4">
        <v>69</v>
      </c>
      <c r="D37" s="4">
        <v>1059950</v>
      </c>
      <c r="E37" s="5" t="s">
        <v>335</v>
      </c>
    </row>
    <row r="38" spans="1:5" ht="16" x14ac:dyDescent="0.2">
      <c r="A38" s="2" t="s">
        <v>102</v>
      </c>
      <c r="B38" s="3" t="s">
        <v>103</v>
      </c>
      <c r="C38" s="4">
        <v>1779</v>
      </c>
      <c r="D38" s="4">
        <v>1027144</v>
      </c>
      <c r="E38" s="5" t="s">
        <v>285</v>
      </c>
    </row>
    <row r="39" spans="1:5" ht="16" x14ac:dyDescent="0.2">
      <c r="A39" s="2" t="s">
        <v>104</v>
      </c>
      <c r="B39" s="3" t="s">
        <v>5</v>
      </c>
      <c r="C39" s="4">
        <v>2002</v>
      </c>
      <c r="D39" s="4">
        <v>1027074</v>
      </c>
      <c r="E39" s="5" t="s">
        <v>285</v>
      </c>
    </row>
    <row r="40" spans="1:5" ht="16" x14ac:dyDescent="0.2">
      <c r="A40" s="2" t="s">
        <v>106</v>
      </c>
      <c r="B40" s="3" t="s">
        <v>122</v>
      </c>
      <c r="C40" s="4">
        <v>1963</v>
      </c>
      <c r="D40" s="4">
        <v>993494.5</v>
      </c>
      <c r="E40" s="5" t="s">
        <v>358</v>
      </c>
    </row>
    <row r="41" spans="1:5" ht="16" x14ac:dyDescent="0.2">
      <c r="A41" s="2" t="s">
        <v>108</v>
      </c>
      <c r="B41" s="3" t="s">
        <v>191</v>
      </c>
      <c r="C41" s="4">
        <v>2411</v>
      </c>
      <c r="D41" s="4">
        <v>992780</v>
      </c>
      <c r="E41" s="5" t="s">
        <v>358</v>
      </c>
    </row>
    <row r="42" spans="1:5" ht="16" x14ac:dyDescent="0.2">
      <c r="A42" s="2" t="s">
        <v>110</v>
      </c>
      <c r="B42" s="3" t="s">
        <v>100</v>
      </c>
      <c r="C42" s="4">
        <v>1968</v>
      </c>
      <c r="D42" s="4">
        <v>977199</v>
      </c>
      <c r="E42" s="5" t="s">
        <v>319</v>
      </c>
    </row>
    <row r="43" spans="1:5" ht="16" x14ac:dyDescent="0.2">
      <c r="A43" s="2" t="s">
        <v>112</v>
      </c>
      <c r="B43" s="3" t="s">
        <v>111</v>
      </c>
      <c r="C43" s="4">
        <v>2003</v>
      </c>
      <c r="D43" s="4">
        <v>970511</v>
      </c>
      <c r="E43" s="5" t="s">
        <v>319</v>
      </c>
    </row>
    <row r="44" spans="1:5" ht="16" x14ac:dyDescent="0.2">
      <c r="A44" s="2" t="s">
        <v>113</v>
      </c>
      <c r="B44" s="3" t="s">
        <v>92</v>
      </c>
      <c r="C44" s="4">
        <v>1955</v>
      </c>
      <c r="D44" s="4">
        <v>959621</v>
      </c>
      <c r="E44" s="5" t="s">
        <v>205</v>
      </c>
    </row>
    <row r="45" spans="1:5" ht="16" x14ac:dyDescent="0.2">
      <c r="A45" s="2" t="s">
        <v>115</v>
      </c>
      <c r="B45" s="3" t="s">
        <v>3</v>
      </c>
      <c r="C45" s="4">
        <v>2637</v>
      </c>
      <c r="D45" s="4">
        <v>952403</v>
      </c>
      <c r="E45" s="5" t="s">
        <v>205</v>
      </c>
    </row>
    <row r="46" spans="1:5" ht="16" x14ac:dyDescent="0.2">
      <c r="A46" s="2" t="s">
        <v>117</v>
      </c>
      <c r="B46" s="3" t="s">
        <v>1</v>
      </c>
      <c r="C46" s="4">
        <v>1716</v>
      </c>
      <c r="D46" s="4">
        <v>945055.2</v>
      </c>
      <c r="E46" s="5" t="s">
        <v>245</v>
      </c>
    </row>
    <row r="47" spans="1:5" ht="16" x14ac:dyDescent="0.2">
      <c r="A47" s="2" t="s">
        <v>150</v>
      </c>
      <c r="B47" s="3" t="s">
        <v>114</v>
      </c>
      <c r="C47" s="4">
        <v>2002</v>
      </c>
      <c r="D47" s="4">
        <v>935230</v>
      </c>
      <c r="E47" s="5" t="s">
        <v>407</v>
      </c>
    </row>
    <row r="48" spans="1:5" ht="16" x14ac:dyDescent="0.2">
      <c r="A48" s="2" t="s">
        <v>118</v>
      </c>
      <c r="B48" s="3" t="s">
        <v>218</v>
      </c>
      <c r="C48" s="4">
        <v>2002</v>
      </c>
      <c r="D48" s="4">
        <v>907039</v>
      </c>
      <c r="E48" s="5" t="s">
        <v>207</v>
      </c>
    </row>
    <row r="49" spans="1:5" ht="16" x14ac:dyDescent="0.2">
      <c r="A49" s="2" t="s">
        <v>120</v>
      </c>
      <c r="B49" s="3" t="s">
        <v>109</v>
      </c>
      <c r="C49" s="4">
        <v>1822</v>
      </c>
      <c r="D49" s="4">
        <v>872878</v>
      </c>
      <c r="E49" s="5" t="s">
        <v>408</v>
      </c>
    </row>
    <row r="50" spans="1:5" ht="16" x14ac:dyDescent="0.2">
      <c r="A50" s="2" t="s">
        <v>121</v>
      </c>
      <c r="B50" s="3" t="s">
        <v>105</v>
      </c>
      <c r="C50" s="4">
        <v>2037</v>
      </c>
      <c r="D50" s="4">
        <v>859219</v>
      </c>
      <c r="E50" s="5" t="s">
        <v>394</v>
      </c>
    </row>
    <row r="51" spans="1:5" ht="16" x14ac:dyDescent="0.2">
      <c r="A51" s="2" t="s">
        <v>123</v>
      </c>
      <c r="B51" s="3" t="s">
        <v>87</v>
      </c>
      <c r="C51" s="4">
        <v>1480</v>
      </c>
      <c r="D51" s="4">
        <v>839579.5</v>
      </c>
      <c r="E51" s="5" t="s">
        <v>272</v>
      </c>
    </row>
    <row r="52" spans="1:5" ht="16" x14ac:dyDescent="0.2">
      <c r="A52" s="2" t="s">
        <v>124</v>
      </c>
      <c r="B52" s="3" t="s">
        <v>51</v>
      </c>
      <c r="C52" s="4">
        <v>1489</v>
      </c>
      <c r="D52" s="4">
        <v>836250</v>
      </c>
      <c r="E52" s="5" t="s">
        <v>272</v>
      </c>
    </row>
    <row r="53" spans="1:5" ht="16" x14ac:dyDescent="0.2">
      <c r="A53" s="2" t="s">
        <v>126</v>
      </c>
      <c r="B53" s="3" t="s">
        <v>254</v>
      </c>
      <c r="C53" s="4">
        <v>1654</v>
      </c>
      <c r="D53" s="4">
        <v>835650.5</v>
      </c>
      <c r="E53" s="5" t="s">
        <v>272</v>
      </c>
    </row>
    <row r="54" spans="1:5" ht="16" x14ac:dyDescent="0.2">
      <c r="A54" s="2" t="s">
        <v>128</v>
      </c>
      <c r="B54" s="3" t="s">
        <v>73</v>
      </c>
      <c r="C54" s="4">
        <v>1659</v>
      </c>
      <c r="D54" s="4">
        <v>804149</v>
      </c>
      <c r="E54" s="5" t="s">
        <v>336</v>
      </c>
    </row>
    <row r="55" spans="1:5" ht="16" x14ac:dyDescent="0.2">
      <c r="A55" s="2" t="s">
        <v>163</v>
      </c>
      <c r="B55" s="3" t="s">
        <v>96</v>
      </c>
      <c r="C55" s="4">
        <v>1619</v>
      </c>
      <c r="D55" s="4">
        <v>798457</v>
      </c>
      <c r="E55" s="5" t="s">
        <v>270</v>
      </c>
    </row>
    <row r="56" spans="1:5" ht="16" x14ac:dyDescent="0.2">
      <c r="A56" s="2" t="s">
        <v>130</v>
      </c>
      <c r="B56" s="3" t="s">
        <v>116</v>
      </c>
      <c r="C56" s="4">
        <v>1572</v>
      </c>
      <c r="D56" s="4">
        <v>783080.5</v>
      </c>
      <c r="E56" s="5" t="s">
        <v>193</v>
      </c>
    </row>
    <row r="57" spans="1:5" ht="16" x14ac:dyDescent="0.2">
      <c r="A57" s="2" t="s">
        <v>131</v>
      </c>
      <c r="B57" s="3" t="s">
        <v>238</v>
      </c>
      <c r="C57" s="4">
        <v>1797</v>
      </c>
      <c r="D57" s="4">
        <v>775104</v>
      </c>
      <c r="E57" s="5" t="s">
        <v>193</v>
      </c>
    </row>
    <row r="58" spans="1:5" ht="16" x14ac:dyDescent="0.2">
      <c r="A58" s="2" t="s">
        <v>164</v>
      </c>
      <c r="B58" s="3" t="s">
        <v>251</v>
      </c>
      <c r="C58" s="4">
        <v>1396</v>
      </c>
      <c r="D58" s="4">
        <v>734037.5</v>
      </c>
      <c r="E58" s="5" t="s">
        <v>278</v>
      </c>
    </row>
    <row r="59" spans="1:5" ht="16" x14ac:dyDescent="0.2">
      <c r="A59" s="2" t="s">
        <v>133</v>
      </c>
      <c r="B59" s="3" t="s">
        <v>201</v>
      </c>
      <c r="C59" s="4">
        <v>1619</v>
      </c>
      <c r="D59" s="4">
        <v>728617</v>
      </c>
      <c r="E59" s="5" t="s">
        <v>278</v>
      </c>
    </row>
    <row r="60" spans="1:5" ht="16" x14ac:dyDescent="0.2">
      <c r="A60" s="2" t="s">
        <v>165</v>
      </c>
      <c r="B60" s="3" t="s">
        <v>107</v>
      </c>
      <c r="C60" s="4">
        <v>1229</v>
      </c>
      <c r="D60" s="4">
        <v>725180</v>
      </c>
      <c r="E60" s="5" t="s">
        <v>369</v>
      </c>
    </row>
    <row r="61" spans="1:5" ht="16" x14ac:dyDescent="0.2">
      <c r="A61" s="2" t="s">
        <v>134</v>
      </c>
      <c r="B61" s="3" t="s">
        <v>132</v>
      </c>
      <c r="C61" s="4">
        <v>1472</v>
      </c>
      <c r="D61" s="4">
        <v>724227.7</v>
      </c>
      <c r="E61" s="5" t="s">
        <v>369</v>
      </c>
    </row>
    <row r="62" spans="1:5" ht="16" x14ac:dyDescent="0.2">
      <c r="A62" s="2" t="s">
        <v>135</v>
      </c>
      <c r="B62" s="3" t="s">
        <v>98</v>
      </c>
      <c r="C62" s="4">
        <v>1589</v>
      </c>
      <c r="D62" s="4">
        <v>697594</v>
      </c>
      <c r="E62" s="5" t="s">
        <v>295</v>
      </c>
    </row>
    <row r="63" spans="1:5" ht="16" x14ac:dyDescent="0.2">
      <c r="A63" s="2" t="s">
        <v>136</v>
      </c>
      <c r="B63" s="3" t="s">
        <v>127</v>
      </c>
      <c r="C63" s="4">
        <v>1308</v>
      </c>
      <c r="D63" s="4">
        <v>690504</v>
      </c>
      <c r="E63" s="5" t="s">
        <v>231</v>
      </c>
    </row>
    <row r="64" spans="1:5" ht="16" x14ac:dyDescent="0.2">
      <c r="A64" s="2" t="s">
        <v>137</v>
      </c>
      <c r="B64" s="3" t="s">
        <v>266</v>
      </c>
      <c r="C64" s="4">
        <v>1655</v>
      </c>
      <c r="D64" s="4">
        <v>689263</v>
      </c>
      <c r="E64" s="5" t="s">
        <v>231</v>
      </c>
    </row>
    <row r="65" spans="1:5" ht="16" x14ac:dyDescent="0.2">
      <c r="A65" s="2" t="s">
        <v>166</v>
      </c>
      <c r="B65" s="3" t="s">
        <v>144</v>
      </c>
      <c r="C65" s="4">
        <v>1337</v>
      </c>
      <c r="D65" s="4">
        <v>679662</v>
      </c>
      <c r="E65" s="5" t="s">
        <v>236</v>
      </c>
    </row>
    <row r="66" spans="1:5" ht="16" x14ac:dyDescent="0.2">
      <c r="A66" s="2" t="s">
        <v>138</v>
      </c>
      <c r="B66" s="3" t="s">
        <v>40</v>
      </c>
      <c r="C66" s="4">
        <v>1526</v>
      </c>
      <c r="D66" s="4">
        <v>679359</v>
      </c>
      <c r="E66" s="5" t="s">
        <v>236</v>
      </c>
    </row>
    <row r="67" spans="1:5" ht="16" x14ac:dyDescent="0.2">
      <c r="A67" s="2" t="s">
        <v>151</v>
      </c>
      <c r="B67" s="3" t="s">
        <v>267</v>
      </c>
      <c r="C67" s="4">
        <v>1435</v>
      </c>
      <c r="D67" s="4">
        <v>658331</v>
      </c>
      <c r="E67" s="5" t="s">
        <v>277</v>
      </c>
    </row>
    <row r="68" spans="1:5" ht="16" x14ac:dyDescent="0.2">
      <c r="A68" s="2" t="s">
        <v>139</v>
      </c>
      <c r="B68" s="3" t="s">
        <v>202</v>
      </c>
      <c r="C68" s="4">
        <v>1494</v>
      </c>
      <c r="D68" s="4">
        <v>652021</v>
      </c>
      <c r="E68" s="5" t="s">
        <v>277</v>
      </c>
    </row>
    <row r="69" spans="1:5" ht="16" x14ac:dyDescent="0.2">
      <c r="A69" s="2" t="s">
        <v>152</v>
      </c>
      <c r="B69" s="3" t="s">
        <v>167</v>
      </c>
      <c r="C69" s="4">
        <v>1257</v>
      </c>
      <c r="D69" s="4">
        <v>629096</v>
      </c>
      <c r="E69" s="5" t="s">
        <v>262</v>
      </c>
    </row>
    <row r="70" spans="1:5" ht="16" x14ac:dyDescent="0.2">
      <c r="A70" s="2" t="s">
        <v>154</v>
      </c>
      <c r="B70" s="3" t="s">
        <v>119</v>
      </c>
      <c r="C70" s="4">
        <v>1437</v>
      </c>
      <c r="D70" s="4">
        <v>624836</v>
      </c>
      <c r="E70" s="5" t="s">
        <v>262</v>
      </c>
    </row>
    <row r="71" spans="1:5" ht="16" x14ac:dyDescent="0.2">
      <c r="A71" s="2" t="s">
        <v>168</v>
      </c>
      <c r="B71" s="3" t="s">
        <v>129</v>
      </c>
      <c r="C71" s="4">
        <v>1273</v>
      </c>
      <c r="D71" s="4">
        <v>620565</v>
      </c>
      <c r="E71" s="5" t="s">
        <v>261</v>
      </c>
    </row>
    <row r="72" spans="1:5" ht="16" x14ac:dyDescent="0.2">
      <c r="A72" s="2" t="s">
        <v>169</v>
      </c>
      <c r="B72" s="3" t="s">
        <v>125</v>
      </c>
      <c r="C72" s="4">
        <v>1302</v>
      </c>
      <c r="D72" s="4">
        <v>608464</v>
      </c>
      <c r="E72" s="5" t="s">
        <v>261</v>
      </c>
    </row>
    <row r="73" spans="1:5" ht="16" x14ac:dyDescent="0.2">
      <c r="A73" s="2" t="s">
        <v>175</v>
      </c>
      <c r="B73" s="3" t="s">
        <v>186</v>
      </c>
      <c r="C73" s="4">
        <v>1254</v>
      </c>
      <c r="D73" s="4">
        <v>592802</v>
      </c>
      <c r="E73" s="5" t="s">
        <v>409</v>
      </c>
    </row>
    <row r="74" spans="1:5" ht="16" x14ac:dyDescent="0.2">
      <c r="A74" s="2" t="s">
        <v>176</v>
      </c>
      <c r="B74" s="3" t="s">
        <v>185</v>
      </c>
      <c r="C74" s="4">
        <v>3472</v>
      </c>
      <c r="D74" s="4">
        <v>555748.5</v>
      </c>
      <c r="E74" s="5" t="s">
        <v>400</v>
      </c>
    </row>
    <row r="75" spans="1:5" ht="16" x14ac:dyDescent="0.2">
      <c r="A75" s="2" t="s">
        <v>177</v>
      </c>
      <c r="B75" s="3" t="s">
        <v>37</v>
      </c>
      <c r="C75" s="4">
        <v>1659</v>
      </c>
      <c r="D75" s="4">
        <v>553776</v>
      </c>
      <c r="E75" s="5" t="s">
        <v>400</v>
      </c>
    </row>
    <row r="76" spans="1:5" ht="16" x14ac:dyDescent="0.2">
      <c r="A76" s="2" t="s">
        <v>179</v>
      </c>
      <c r="B76" s="3" t="s">
        <v>255</v>
      </c>
      <c r="C76" s="4">
        <v>1487</v>
      </c>
      <c r="D76" s="4">
        <v>514788</v>
      </c>
      <c r="E76" s="5" t="s">
        <v>194</v>
      </c>
    </row>
    <row r="77" spans="1:5" ht="16" x14ac:dyDescent="0.2">
      <c r="A77" s="2" t="s">
        <v>180</v>
      </c>
      <c r="B77" s="3" t="s">
        <v>195</v>
      </c>
      <c r="C77" s="4">
        <v>972</v>
      </c>
      <c r="D77" s="4">
        <v>498302</v>
      </c>
      <c r="E77" s="5" t="s">
        <v>359</v>
      </c>
    </row>
    <row r="78" spans="1:5" ht="16" x14ac:dyDescent="0.2">
      <c r="A78" s="2" t="s">
        <v>187</v>
      </c>
      <c r="B78" s="3" t="s">
        <v>253</v>
      </c>
      <c r="C78" s="4">
        <v>954</v>
      </c>
      <c r="D78" s="4">
        <v>469734.5</v>
      </c>
      <c r="E78" s="5" t="s">
        <v>246</v>
      </c>
    </row>
    <row r="79" spans="1:5" ht="16" x14ac:dyDescent="0.2">
      <c r="A79" s="2" t="s">
        <v>188</v>
      </c>
      <c r="B79" s="3" t="s">
        <v>36</v>
      </c>
      <c r="C79" s="4">
        <v>1436</v>
      </c>
      <c r="D79" s="4">
        <v>464845.5</v>
      </c>
      <c r="E79" s="5" t="s">
        <v>246</v>
      </c>
    </row>
    <row r="80" spans="1:5" ht="16" x14ac:dyDescent="0.2">
      <c r="A80" s="2" t="s">
        <v>208</v>
      </c>
      <c r="B80" s="3" t="s">
        <v>153</v>
      </c>
      <c r="C80" s="4">
        <v>1005</v>
      </c>
      <c r="D80" s="4">
        <v>443924</v>
      </c>
      <c r="E80" s="5" t="s">
        <v>341</v>
      </c>
    </row>
    <row r="81" spans="1:5" ht="16" x14ac:dyDescent="0.2">
      <c r="A81" s="2" t="s">
        <v>209</v>
      </c>
      <c r="B81" s="3" t="s">
        <v>239</v>
      </c>
      <c r="C81" s="4">
        <v>917</v>
      </c>
      <c r="D81" s="4">
        <v>443156</v>
      </c>
      <c r="E81" s="5" t="s">
        <v>341</v>
      </c>
    </row>
    <row r="82" spans="1:5" ht="16" x14ac:dyDescent="0.2">
      <c r="A82" s="2" t="s">
        <v>210</v>
      </c>
      <c r="B82" s="3" t="s">
        <v>235</v>
      </c>
      <c r="C82" s="4">
        <v>862</v>
      </c>
      <c r="D82" s="4">
        <v>392423.5</v>
      </c>
      <c r="E82" s="5" t="s">
        <v>298</v>
      </c>
    </row>
    <row r="83" spans="1:5" ht="16" x14ac:dyDescent="0.2">
      <c r="A83" s="2" t="s">
        <v>211</v>
      </c>
      <c r="B83" s="3" t="s">
        <v>242</v>
      </c>
      <c r="C83" s="4">
        <v>747</v>
      </c>
      <c r="D83" s="4">
        <v>384411.2</v>
      </c>
      <c r="E83" s="5" t="s">
        <v>298</v>
      </c>
    </row>
    <row r="84" spans="1:5" ht="16" x14ac:dyDescent="0.2">
      <c r="A84" s="2" t="s">
        <v>212</v>
      </c>
      <c r="B84" s="3" t="s">
        <v>171</v>
      </c>
      <c r="C84" s="4">
        <v>1151</v>
      </c>
      <c r="D84" s="4">
        <v>352536</v>
      </c>
      <c r="E84" s="5" t="s">
        <v>401</v>
      </c>
    </row>
    <row r="85" spans="1:5" ht="16" x14ac:dyDescent="0.2">
      <c r="A85" s="2" t="s">
        <v>219</v>
      </c>
      <c r="B85" s="3" t="s">
        <v>203</v>
      </c>
      <c r="C85" s="4">
        <v>725</v>
      </c>
      <c r="D85" s="4">
        <v>335396</v>
      </c>
      <c r="E85" s="5" t="s">
        <v>331</v>
      </c>
    </row>
    <row r="86" spans="1:5" ht="16" x14ac:dyDescent="0.2">
      <c r="A86" s="2" t="s">
        <v>224</v>
      </c>
      <c r="B86" s="3" t="s">
        <v>282</v>
      </c>
      <c r="C86" s="4">
        <v>811</v>
      </c>
      <c r="D86" s="4">
        <v>319927</v>
      </c>
      <c r="E86" s="5" t="s">
        <v>395</v>
      </c>
    </row>
    <row r="87" spans="1:5" ht="16" x14ac:dyDescent="0.2">
      <c r="A87" s="2" t="s">
        <v>225</v>
      </c>
      <c r="B87" s="3" t="s">
        <v>263</v>
      </c>
      <c r="C87" s="4">
        <v>744</v>
      </c>
      <c r="D87" s="4">
        <v>286975</v>
      </c>
      <c r="E87" s="5" t="s">
        <v>380</v>
      </c>
    </row>
    <row r="88" spans="1:5" ht="16" x14ac:dyDescent="0.2">
      <c r="A88" s="2" t="s">
        <v>226</v>
      </c>
      <c r="B88" s="3" t="s">
        <v>338</v>
      </c>
      <c r="C88" s="4">
        <v>646</v>
      </c>
      <c r="D88" s="4">
        <v>263978</v>
      </c>
      <c r="E88" s="5" t="s">
        <v>274</v>
      </c>
    </row>
    <row r="89" spans="1:5" ht="16" x14ac:dyDescent="0.2">
      <c r="A89" s="2" t="s">
        <v>243</v>
      </c>
      <c r="B89" s="3" t="s">
        <v>6</v>
      </c>
      <c r="C89" s="4">
        <v>664</v>
      </c>
      <c r="D89" s="4">
        <v>262722</v>
      </c>
      <c r="E89" s="5" t="s">
        <v>274</v>
      </c>
    </row>
    <row r="90" spans="1:5" ht="16" x14ac:dyDescent="0.2">
      <c r="A90" s="2" t="s">
        <v>244</v>
      </c>
      <c r="B90" s="3" t="s">
        <v>329</v>
      </c>
      <c r="C90" s="4">
        <v>433</v>
      </c>
      <c r="D90" s="4">
        <v>253761</v>
      </c>
      <c r="E90" s="5" t="s">
        <v>360</v>
      </c>
    </row>
    <row r="91" spans="1:5" ht="16" x14ac:dyDescent="0.2">
      <c r="A91" s="2" t="s">
        <v>247</v>
      </c>
      <c r="B91" s="3" t="s">
        <v>196</v>
      </c>
      <c r="C91" s="4">
        <v>591</v>
      </c>
      <c r="D91" s="4">
        <v>241759</v>
      </c>
      <c r="E91" s="5" t="s">
        <v>361</v>
      </c>
    </row>
    <row r="92" spans="1:5" ht="16" x14ac:dyDescent="0.2">
      <c r="A92" s="2" t="s">
        <v>248</v>
      </c>
      <c r="B92" s="3" t="s">
        <v>320</v>
      </c>
      <c r="C92" s="4">
        <v>551</v>
      </c>
      <c r="D92" s="4">
        <v>200326</v>
      </c>
      <c r="E92" s="5" t="s">
        <v>339</v>
      </c>
    </row>
    <row r="93" spans="1:5" ht="16" x14ac:dyDescent="0.2">
      <c r="A93" s="2" t="s">
        <v>249</v>
      </c>
      <c r="B93" s="3" t="s">
        <v>284</v>
      </c>
      <c r="C93" s="4">
        <v>457</v>
      </c>
      <c r="D93" s="4">
        <v>189430</v>
      </c>
      <c r="E93" s="5" t="s">
        <v>339</v>
      </c>
    </row>
    <row r="94" spans="1:5" ht="16" x14ac:dyDescent="0.2">
      <c r="A94" s="2" t="s">
        <v>256</v>
      </c>
      <c r="B94" s="3" t="s">
        <v>250</v>
      </c>
      <c r="C94" s="4">
        <v>530</v>
      </c>
      <c r="D94" s="4">
        <v>184940</v>
      </c>
      <c r="E94" s="5" t="s">
        <v>402</v>
      </c>
    </row>
    <row r="95" spans="1:5" ht="16" x14ac:dyDescent="0.2">
      <c r="A95" s="2" t="s">
        <v>257</v>
      </c>
      <c r="B95" s="3" t="s">
        <v>7</v>
      </c>
      <c r="C95" s="4">
        <v>482</v>
      </c>
      <c r="D95" s="4">
        <v>153847</v>
      </c>
      <c r="E95" s="5" t="s">
        <v>351</v>
      </c>
    </row>
    <row r="96" spans="1:5" ht="16" x14ac:dyDescent="0.2">
      <c r="A96" s="2" t="s">
        <v>301</v>
      </c>
      <c r="B96" s="3" t="s">
        <v>275</v>
      </c>
      <c r="C96" s="4">
        <v>314</v>
      </c>
      <c r="D96" s="4">
        <v>106246</v>
      </c>
      <c r="E96" s="5" t="s">
        <v>327</v>
      </c>
    </row>
    <row r="97" spans="1:5" ht="16" x14ac:dyDescent="0.2">
      <c r="A97" s="2" t="s">
        <v>302</v>
      </c>
      <c r="B97" s="3" t="s">
        <v>362</v>
      </c>
      <c r="C97" s="4">
        <v>121</v>
      </c>
      <c r="D97" s="4">
        <v>59910.82</v>
      </c>
      <c r="E97" s="5" t="s">
        <v>403</v>
      </c>
    </row>
    <row r="98" spans="1:5" ht="16" x14ac:dyDescent="0.2">
      <c r="A98" s="2" t="s">
        <v>303</v>
      </c>
      <c r="B98" s="3" t="s">
        <v>227</v>
      </c>
      <c r="C98" s="4">
        <v>18</v>
      </c>
      <c r="D98" s="4">
        <v>3203</v>
      </c>
      <c r="E98" s="5" t="s">
        <v>183</v>
      </c>
    </row>
    <row r="99" spans="1:5" ht="16" x14ac:dyDescent="0.2">
      <c r="A99" s="2" t="s">
        <v>304</v>
      </c>
      <c r="B99" s="3" t="s">
        <v>283</v>
      </c>
      <c r="C99" s="4">
        <v>5</v>
      </c>
      <c r="D99" s="4">
        <v>1484</v>
      </c>
      <c r="E99" s="5" t="s">
        <v>183</v>
      </c>
    </row>
    <row r="100" spans="1:5" ht="16" x14ac:dyDescent="0.2">
      <c r="A100" s="2" t="s">
        <v>305</v>
      </c>
      <c r="B100" s="3" t="s">
        <v>328</v>
      </c>
      <c r="C100" s="4">
        <v>0</v>
      </c>
      <c r="D100" s="4">
        <v>0</v>
      </c>
      <c r="E100" s="5" t="s">
        <v>183</v>
      </c>
    </row>
    <row r="101" spans="1:5" ht="16" x14ac:dyDescent="0.2">
      <c r="A101" s="2" t="s">
        <v>321</v>
      </c>
      <c r="B101" s="3" t="s">
        <v>349</v>
      </c>
      <c r="C101" s="4">
        <v>0</v>
      </c>
      <c r="D101" s="4">
        <v>0</v>
      </c>
      <c r="E101" s="5" t="s">
        <v>183</v>
      </c>
    </row>
    <row r="102" spans="1:5" ht="16" x14ac:dyDescent="0.2">
      <c r="A102" s="2" t="s">
        <v>322</v>
      </c>
      <c r="B102" s="3" t="s">
        <v>279</v>
      </c>
      <c r="C102" s="4">
        <v>0</v>
      </c>
      <c r="D102" s="4">
        <v>0</v>
      </c>
      <c r="E102" s="5" t="s">
        <v>183</v>
      </c>
    </row>
    <row r="103" spans="1:5" ht="16" x14ac:dyDescent="0.2">
      <c r="A103" s="2" t="s">
        <v>323</v>
      </c>
      <c r="B103" s="3" t="s">
        <v>340</v>
      </c>
      <c r="C103" s="4">
        <v>0</v>
      </c>
      <c r="D103" s="4">
        <v>0</v>
      </c>
      <c r="E103" s="5" t="s">
        <v>183</v>
      </c>
    </row>
    <row r="104" spans="1:5" ht="16" x14ac:dyDescent="0.2">
      <c r="A104" s="2" t="s">
        <v>332</v>
      </c>
      <c r="B104" s="3" t="s">
        <v>300</v>
      </c>
      <c r="C104" s="4">
        <v>0</v>
      </c>
      <c r="D104" s="4">
        <v>0</v>
      </c>
      <c r="E104" s="5" t="s">
        <v>183</v>
      </c>
    </row>
    <row r="105" spans="1:5" ht="16" x14ac:dyDescent="0.2">
      <c r="A105" s="2" t="s">
        <v>333</v>
      </c>
      <c r="B105" s="3" t="s">
        <v>189</v>
      </c>
      <c r="C105" s="4">
        <v>0</v>
      </c>
      <c r="D105" s="4">
        <v>0</v>
      </c>
      <c r="E105" s="5" t="s">
        <v>183</v>
      </c>
    </row>
    <row r="106" spans="1:5" ht="16" x14ac:dyDescent="0.2">
      <c r="A106" s="2" t="s">
        <v>342</v>
      </c>
      <c r="B106" s="3" t="s">
        <v>229</v>
      </c>
      <c r="C106" s="4">
        <v>-36</v>
      </c>
      <c r="D106" s="4">
        <v>-5385.33</v>
      </c>
      <c r="E106" s="5" t="s">
        <v>230</v>
      </c>
    </row>
    <row r="107" spans="1:5" ht="16" x14ac:dyDescent="0.2">
      <c r="A107" s="2" t="s">
        <v>343</v>
      </c>
      <c r="B107" s="3" t="s">
        <v>184</v>
      </c>
      <c r="C107" s="4">
        <v>-3871</v>
      </c>
      <c r="D107" s="4">
        <v>-1288411.9799999997</v>
      </c>
      <c r="E107" s="5" t="s">
        <v>404</v>
      </c>
    </row>
    <row r="109" spans="1:5" ht="16" x14ac:dyDescent="0.2">
      <c r="B109" s="2" t="s">
        <v>140</v>
      </c>
      <c r="C109" s="6" t="s">
        <v>141</v>
      </c>
    </row>
    <row r="110" spans="1:5" ht="16" x14ac:dyDescent="0.2">
      <c r="B110" s="2" t="s">
        <v>142</v>
      </c>
      <c r="C110" s="6" t="s">
        <v>410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2038-B555-7F4C-A170-734FE1AFA547}">
  <sheetPr codeName="Sheet7">
    <tabColor rgb="FF00A400"/>
  </sheetPr>
  <dimension ref="A1:BU75"/>
  <sheetViews>
    <sheetView tabSelected="1" zoomScale="37" zoomScaleNormal="37" workbookViewId="0">
      <pane ySplit="2" topLeftCell="A3" activePane="bottomLeft" state="frozen"/>
      <selection pane="bottomLeft" activeCell="AC17" sqref="AC17"/>
    </sheetView>
  </sheetViews>
  <sheetFormatPr baseColWidth="10" defaultRowHeight="18" x14ac:dyDescent="0.2"/>
  <cols>
    <col min="1" max="1" width="44.85546875" style="54" customWidth="1"/>
    <col min="2" max="2" width="17.140625" style="54" hidden="1" customWidth="1"/>
    <col min="3" max="3" width="16.7109375" style="54" customWidth="1"/>
    <col min="4" max="4" width="13.85546875" style="54" customWidth="1"/>
    <col min="5" max="5" width="17.28515625" style="54" customWidth="1"/>
    <col min="6" max="6" width="16" style="54" customWidth="1"/>
    <col min="7" max="7" width="11.42578125" style="54" customWidth="1"/>
    <col min="8" max="9" width="8.140625" style="54" customWidth="1"/>
    <col min="10" max="10" width="11.5703125" style="54" customWidth="1"/>
    <col min="11" max="11" width="18.28515625" style="54" hidden="1" customWidth="1"/>
    <col min="12" max="12" width="12.42578125" style="54" customWidth="1"/>
    <col min="13" max="13" width="12.42578125" style="54" hidden="1" customWidth="1"/>
    <col min="14" max="14" width="13.5703125" style="54" customWidth="1"/>
    <col min="15" max="19" width="15.28515625" style="54" hidden="1" customWidth="1"/>
    <col min="20" max="20" width="14.140625" style="54" hidden="1" customWidth="1"/>
    <col min="21" max="21" width="12.42578125" style="54" hidden="1" customWidth="1"/>
    <col min="22" max="22" width="16.28515625" style="54" hidden="1" customWidth="1"/>
    <col min="23" max="23" width="18.5703125" style="54" hidden="1" customWidth="1"/>
    <col min="24" max="24" width="10.42578125" style="54" customWidth="1"/>
    <col min="25" max="25" width="10.140625" style="54" hidden="1" customWidth="1"/>
    <col min="26" max="26" width="14.85546875" style="54" hidden="1" customWidth="1"/>
    <col min="27" max="28" width="16" style="54" customWidth="1"/>
    <col min="29" max="29" width="13.85546875" style="54" customWidth="1"/>
    <col min="30" max="30" width="12.7109375" style="54" customWidth="1"/>
    <col min="31" max="31" width="14.85546875" style="54" hidden="1" customWidth="1"/>
    <col min="32" max="33" width="16" style="54" customWidth="1"/>
    <col min="34" max="34" width="13.85546875" style="54" customWidth="1"/>
    <col min="35" max="35" width="13.140625" style="54" customWidth="1"/>
    <col min="36" max="37" width="16" style="54" customWidth="1"/>
    <col min="38" max="39" width="15.140625" style="54" customWidth="1"/>
    <col min="40" max="40" width="15.140625" style="54" hidden="1" customWidth="1"/>
    <col min="41" max="41" width="13.85546875" style="54" customWidth="1"/>
    <col min="42" max="42" width="12.28515625" style="54" customWidth="1"/>
    <col min="43" max="43" width="64.7109375" style="57" customWidth="1"/>
    <col min="44" max="44" width="23" style="54" customWidth="1"/>
    <col min="45" max="45" width="64.85546875" style="54" customWidth="1"/>
    <col min="46" max="47" width="25.7109375" style="54" customWidth="1"/>
    <col min="48" max="48" width="20" style="54" customWidth="1"/>
    <col min="49" max="49" width="25.7109375" style="54" customWidth="1"/>
    <col min="50" max="50" width="20.28515625" style="54" customWidth="1"/>
    <col min="51" max="51" width="21" style="54" customWidth="1"/>
    <col min="52" max="52" width="25.28515625" style="54" customWidth="1"/>
    <col min="53" max="53" width="18.140625" style="54" customWidth="1"/>
    <col min="54" max="16384" width="10.7109375" style="54"/>
  </cols>
  <sheetData>
    <row r="1" spans="1:73" s="17" customFormat="1" ht="59" customHeight="1" x14ac:dyDescent="0.15">
      <c r="A1" s="115"/>
      <c r="B1" s="116" t="s">
        <v>170</v>
      </c>
      <c r="C1" s="117" t="s">
        <v>8</v>
      </c>
      <c r="D1" s="117" t="s">
        <v>8</v>
      </c>
      <c r="E1" s="176" t="s">
        <v>376</v>
      </c>
      <c r="F1" s="176"/>
      <c r="G1" s="176"/>
      <c r="H1" s="175" t="s">
        <v>10</v>
      </c>
      <c r="I1" s="175" t="s">
        <v>11</v>
      </c>
      <c r="J1" s="175" t="s">
        <v>12</v>
      </c>
      <c r="K1" s="175" t="s">
        <v>13</v>
      </c>
      <c r="L1" s="175" t="s">
        <v>14</v>
      </c>
      <c r="M1" s="180" t="s">
        <v>222</v>
      </c>
      <c r="N1" s="177" t="s">
        <v>25</v>
      </c>
      <c r="O1" s="178"/>
      <c r="P1" s="178"/>
      <c r="Q1" s="178"/>
      <c r="R1" s="178"/>
      <c r="S1" s="178"/>
      <c r="T1" s="178"/>
      <c r="U1" s="178"/>
      <c r="V1" s="178"/>
      <c r="W1" s="179"/>
      <c r="X1" s="175" t="s">
        <v>33</v>
      </c>
      <c r="Y1" s="175" t="s">
        <v>32</v>
      </c>
      <c r="Z1" s="175" t="s">
        <v>15</v>
      </c>
      <c r="AA1" s="175"/>
      <c r="AB1" s="175"/>
      <c r="AC1" s="175"/>
      <c r="AD1" s="175"/>
      <c r="AE1" s="175" t="s">
        <v>16</v>
      </c>
      <c r="AF1" s="175"/>
      <c r="AG1" s="175"/>
      <c r="AH1" s="175"/>
      <c r="AI1" s="175"/>
      <c r="AJ1" s="175" t="s">
        <v>29</v>
      </c>
      <c r="AK1" s="175"/>
      <c r="AL1" s="175"/>
      <c r="AM1" s="175"/>
      <c r="AN1" s="175"/>
      <c r="AO1" s="175"/>
      <c r="AP1" s="175"/>
      <c r="AQ1" s="176" t="s">
        <v>17</v>
      </c>
      <c r="AS1" s="171" t="s">
        <v>178</v>
      </c>
      <c r="AT1" s="171" t="s">
        <v>223</v>
      </c>
      <c r="AU1" s="171"/>
      <c r="AV1" s="171"/>
      <c r="AW1" s="171"/>
      <c r="AX1" s="171"/>
      <c r="AY1" s="171" t="s">
        <v>232</v>
      </c>
      <c r="AZ1" s="171"/>
      <c r="BA1" s="171"/>
    </row>
    <row r="2" spans="1:73" s="17" customFormat="1" ht="59" customHeight="1" x14ac:dyDescent="0.15">
      <c r="A2" s="120" t="s">
        <v>178</v>
      </c>
      <c r="B2" s="121">
        <v>1</v>
      </c>
      <c r="C2" s="122">
        <v>1</v>
      </c>
      <c r="D2" s="117" t="s">
        <v>9</v>
      </c>
      <c r="E2" s="118" t="s">
        <v>18</v>
      </c>
      <c r="F2" s="118" t="s">
        <v>19</v>
      </c>
      <c r="G2" s="118" t="s">
        <v>20</v>
      </c>
      <c r="H2" s="175"/>
      <c r="I2" s="175"/>
      <c r="J2" s="175"/>
      <c r="K2" s="175"/>
      <c r="L2" s="175"/>
      <c r="M2" s="181"/>
      <c r="N2" s="119" t="s">
        <v>28</v>
      </c>
      <c r="O2" s="119" t="s">
        <v>42</v>
      </c>
      <c r="P2" s="123" t="s">
        <v>21</v>
      </c>
      <c r="Q2" s="123" t="s">
        <v>198</v>
      </c>
      <c r="R2" s="123" t="s">
        <v>199</v>
      </c>
      <c r="S2" s="123" t="s">
        <v>200</v>
      </c>
      <c r="T2" s="119" t="s">
        <v>181</v>
      </c>
      <c r="U2" s="123" t="s">
        <v>22</v>
      </c>
      <c r="V2" s="119" t="s">
        <v>182</v>
      </c>
      <c r="W2" s="123" t="s">
        <v>23</v>
      </c>
      <c r="X2" s="175"/>
      <c r="Y2" s="175"/>
      <c r="Z2" s="124">
        <v>2023</v>
      </c>
      <c r="AA2" s="124">
        <v>2024</v>
      </c>
      <c r="AB2" s="124">
        <v>2025</v>
      </c>
      <c r="AC2" s="175" t="s">
        <v>12</v>
      </c>
      <c r="AD2" s="175"/>
      <c r="AE2" s="125" t="s">
        <v>192</v>
      </c>
      <c r="AF2" s="125" t="s">
        <v>268</v>
      </c>
      <c r="AG2" s="125" t="s">
        <v>299</v>
      </c>
      <c r="AH2" s="175" t="s">
        <v>12</v>
      </c>
      <c r="AI2" s="175"/>
      <c r="AJ2" s="128" t="s">
        <v>269</v>
      </c>
      <c r="AK2" s="126" t="s">
        <v>296</v>
      </c>
      <c r="AL2" s="126" t="s">
        <v>290</v>
      </c>
      <c r="AM2" s="126" t="s">
        <v>291</v>
      </c>
      <c r="AN2" s="127" t="s">
        <v>292</v>
      </c>
      <c r="AO2" s="175" t="s">
        <v>12</v>
      </c>
      <c r="AP2" s="175"/>
      <c r="AQ2" s="176"/>
      <c r="AS2" s="171"/>
      <c r="AT2" s="8" t="s">
        <v>214</v>
      </c>
      <c r="AU2" s="8" t="s">
        <v>197</v>
      </c>
      <c r="AV2" s="9" t="s">
        <v>221</v>
      </c>
      <c r="AW2" s="8" t="s">
        <v>222</v>
      </c>
      <c r="AX2" s="8" t="s">
        <v>215</v>
      </c>
      <c r="AY2" s="9" t="s">
        <v>221</v>
      </c>
      <c r="AZ2" s="8" t="s">
        <v>222</v>
      </c>
      <c r="BA2" s="8" t="s">
        <v>215</v>
      </c>
    </row>
    <row r="3" spans="1:73" s="36" customFormat="1" ht="60" customHeight="1" x14ac:dyDescent="0.15">
      <c r="A3" s="18" t="s">
        <v>103</v>
      </c>
      <c r="B3" s="19">
        <f>(C3*7)/100+C3</f>
        <v>1102100</v>
      </c>
      <c r="C3" s="20">
        <f>_xlfn.XLOOKUP(A3,'Target ปี 2025'!B:B,'Target ปี 2025'!C:C,0,0)</f>
        <v>1030000</v>
      </c>
      <c r="D3" s="20">
        <f t="shared" ref="D3:D9" si="0">C3/30</f>
        <v>34333.333333333336</v>
      </c>
      <c r="E3" s="84">
        <f>_xlfn.XLOOKUP(A3,ยอดขายปัจจุบัน!B:B,ยอดขายปัจจุบัน!D:D,0,0)</f>
        <v>1027144</v>
      </c>
      <c r="F3" s="84">
        <f t="shared" ref="F3:F9" si="1">E3*100/107</f>
        <v>959947.66355140181</v>
      </c>
      <c r="G3" s="84">
        <f>_xlfn.XLOOKUP(A3,ยอดขายปัจจุบัน!B:B,ยอดขายปัจจุบัน!C:C,0,0)</f>
        <v>1779</v>
      </c>
      <c r="H3" s="85">
        <f t="shared" ref="H3:H9" si="2">E3/G3</f>
        <v>577.37155705452506</v>
      </c>
      <c r="I3" s="21">
        <v>450</v>
      </c>
      <c r="J3" s="22">
        <f t="shared" ref="J3:J9" si="3">(H3-I3)/H3</f>
        <v>0.22060587415201768</v>
      </c>
      <c r="K3" s="23">
        <f t="shared" ref="K3:K9" si="4">(E3-C3)/$E$36</f>
        <v>-2856</v>
      </c>
      <c r="L3" s="106">
        <f t="shared" ref="L3:L19" si="5">F3/C3</f>
        <v>0.93198802286543869</v>
      </c>
      <c r="M3" s="88"/>
      <c r="N3" s="25">
        <f t="shared" ref="N3:N9" si="6">C3-F3</f>
        <v>70052.336448598187</v>
      </c>
      <c r="O3" s="24">
        <f t="shared" ref="O3:O9" si="7">N3/$E$36</f>
        <v>70052.336448598187</v>
      </c>
      <c r="P3" s="25">
        <f t="shared" ref="P3:P9" si="8">SUM(N3/$E$36)</f>
        <v>70052.336448598187</v>
      </c>
      <c r="Q3" s="25">
        <f t="shared" ref="Q3:Q9" si="9">E3/$D$36</f>
        <v>34238.133333333331</v>
      </c>
      <c r="R3" s="25">
        <f>Q3*22</f>
        <v>753238.93333333335</v>
      </c>
      <c r="S3" s="26">
        <f>R3/C3</f>
        <v>0.73129993527508097</v>
      </c>
      <c r="T3" s="27">
        <f t="shared" ref="T3:T9" si="10">(C3-F3)*110%</f>
        <v>77057.570093458009</v>
      </c>
      <c r="U3" s="28">
        <f t="shared" ref="U3:U9" si="11">T3/$E$36</f>
        <v>77057.570093458009</v>
      </c>
      <c r="V3" s="28">
        <f t="shared" ref="V3:V9" si="12">(C3-F3)*120%</f>
        <v>84062.803738317816</v>
      </c>
      <c r="W3" s="28">
        <f t="shared" ref="W3:W9" si="13">SUM(V3/$E$36)</f>
        <v>84062.803738317816</v>
      </c>
      <c r="X3" s="29">
        <f t="shared" ref="X3:X9" si="14">E3/$E$21</f>
        <v>6.5164372165061241E-2</v>
      </c>
      <c r="Y3" s="29" t="e">
        <f t="shared" ref="Y3:Y9" si="15">E3/$H$36</f>
        <v>#DIV/0!</v>
      </c>
      <c r="Z3" s="30">
        <f>_xlfn.XLOOKUP(A3,ยอดขายปีที่แล้ว!B:B,ยอดขายปีที่แล้ว!D:D,0,0)</f>
        <v>1003312.5</v>
      </c>
      <c r="AA3" s="31">
        <f t="shared" ref="AA3:AA9" si="16">Z3*100/107</f>
        <v>937675.23364485987</v>
      </c>
      <c r="AB3" s="84">
        <f t="shared" ref="AB3:AB9" si="17">F3</f>
        <v>959947.66355140181</v>
      </c>
      <c r="AC3" s="37">
        <f t="shared" ref="AC3:AC9" si="18">AB3-AA3</f>
        <v>22272.429906541947</v>
      </c>
      <c r="AD3" s="108">
        <f t="shared" ref="AD3:AD9" si="19">(AB3-AA3)/AA3</f>
        <v>2.375281878776541E-2</v>
      </c>
      <c r="AE3" s="30">
        <f>_xlfn.XLOOKUP(A3,ยอดขายเดือนที่เแล้ว!B:B,ยอดขายเดือนที่เแล้ว!D:D,0,0)</f>
        <v>1239588.5</v>
      </c>
      <c r="AF3" s="27">
        <f t="shared" ref="AF3:AF9" si="20">AE3*100/107</f>
        <v>1158493.9252336449</v>
      </c>
      <c r="AG3" s="87">
        <f t="shared" ref="AG3:AG9" si="21">F3</f>
        <v>959947.66355140181</v>
      </c>
      <c r="AH3" s="129">
        <f>AG3-AF3</f>
        <v>-198546.26168224309</v>
      </c>
      <c r="AI3" s="158">
        <f>(AG3-AF3)/AF3</f>
        <v>-0.17138308398311222</v>
      </c>
      <c r="AJ3" s="32">
        <v>382075</v>
      </c>
      <c r="AK3" s="31">
        <v>196313.5</v>
      </c>
      <c r="AL3" s="31">
        <v>212647.5</v>
      </c>
      <c r="AM3" s="33">
        <v>232849</v>
      </c>
      <c r="AN3" s="32"/>
      <c r="AO3" s="161">
        <f>AM3-AL3</f>
        <v>20201.5</v>
      </c>
      <c r="AP3" s="147">
        <f>(AM3-AL3)/AL3</f>
        <v>9.4999941217272718E-2</v>
      </c>
      <c r="AQ3" s="34"/>
      <c r="AR3" s="35"/>
      <c r="AS3" s="10" t="str">
        <f>A3</f>
        <v>Yuedpao สาขา Mega บางนา</v>
      </c>
      <c r="AT3" s="11">
        <f>C3</f>
        <v>1030000</v>
      </c>
      <c r="AU3" s="11">
        <f>F3</f>
        <v>959947.66355140181</v>
      </c>
      <c r="AV3" s="12">
        <f t="shared" ref="AV3:AV9" si="22">AU3/$D$36</f>
        <v>31998.255451713394</v>
      </c>
      <c r="AW3" s="13">
        <f t="shared" ref="AW3:AW9" si="23">(AV3*$E$36)+AU3</f>
        <v>991945.91900311515</v>
      </c>
      <c r="AX3" s="100">
        <f t="shared" ref="AX3:AX9" si="24">AW3/AT3</f>
        <v>0.96305429029428657</v>
      </c>
      <c r="AY3" s="130">
        <f t="shared" ref="AY3:AY19" si="25">(AV3*50%)+AV3</f>
        <v>47997.383177570089</v>
      </c>
      <c r="AZ3" s="131">
        <f t="shared" ref="AZ3:AZ9" si="26">(AY3*$E$36)+AU3</f>
        <v>1007945.0467289719</v>
      </c>
      <c r="BA3" s="100">
        <f t="shared" ref="BA3:BA20" si="27">AZ3/AT3</f>
        <v>0.97858742400871057</v>
      </c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</row>
    <row r="4" spans="1:73" s="36" customFormat="1" ht="60" customHeight="1" x14ac:dyDescent="0.15">
      <c r="A4" s="18" t="s">
        <v>109</v>
      </c>
      <c r="B4" s="19">
        <f>(C4*7)/100+C4</f>
        <v>749000</v>
      </c>
      <c r="C4" s="20">
        <f>_xlfn.XLOOKUP(A4,'Target ปี 2025'!B:B,'Target ปี 2025'!C:C,0,0)</f>
        <v>700000</v>
      </c>
      <c r="D4" s="20">
        <f t="shared" si="0"/>
        <v>23333.333333333332</v>
      </c>
      <c r="E4" s="84">
        <f>_xlfn.XLOOKUP(A4,ยอดขายปัจจุบัน!B:B,ยอดขายปัจจุบัน!D:D,0,0)</f>
        <v>872878</v>
      </c>
      <c r="F4" s="84">
        <f t="shared" si="1"/>
        <v>815773.83177570091</v>
      </c>
      <c r="G4" s="84">
        <f>_xlfn.XLOOKUP(A4,ยอดขายปัจจุบัน!B:B,ยอดขายปัจจุบัน!C:C,0,0)</f>
        <v>1822</v>
      </c>
      <c r="H4" s="85">
        <f t="shared" si="2"/>
        <v>479.07683863885842</v>
      </c>
      <c r="I4" s="21">
        <v>450</v>
      </c>
      <c r="J4" s="22">
        <f t="shared" si="3"/>
        <v>6.0693476064238118E-2</v>
      </c>
      <c r="K4" s="23">
        <f t="shared" si="4"/>
        <v>172878</v>
      </c>
      <c r="L4" s="166">
        <f t="shared" si="5"/>
        <v>1.1653911882510013</v>
      </c>
      <c r="M4" s="88"/>
      <c r="N4" s="25">
        <f t="shared" si="6"/>
        <v>-115773.83177570091</v>
      </c>
      <c r="O4" s="24">
        <f t="shared" si="7"/>
        <v>-115773.83177570091</v>
      </c>
      <c r="P4" s="25">
        <f t="shared" si="8"/>
        <v>-115773.83177570091</v>
      </c>
      <c r="Q4" s="25">
        <f t="shared" si="9"/>
        <v>29095.933333333334</v>
      </c>
      <c r="R4" s="25">
        <f>Q4*22</f>
        <v>640110.53333333333</v>
      </c>
      <c r="S4" s="26">
        <f>R4/C4</f>
        <v>0.91444361904761906</v>
      </c>
      <c r="T4" s="27">
        <f t="shared" si="10"/>
        <v>-127351.214953271</v>
      </c>
      <c r="U4" s="28">
        <f t="shared" si="11"/>
        <v>-127351.214953271</v>
      </c>
      <c r="V4" s="28">
        <f t="shared" si="12"/>
        <v>-138928.59813084107</v>
      </c>
      <c r="W4" s="28">
        <f t="shared" si="13"/>
        <v>-138928.59813084107</v>
      </c>
      <c r="X4" s="29">
        <f t="shared" si="14"/>
        <v>5.5377383158246876E-2</v>
      </c>
      <c r="Y4" s="29" t="e">
        <f t="shared" si="15"/>
        <v>#DIV/0!</v>
      </c>
      <c r="Z4" s="30">
        <f>_xlfn.XLOOKUP(A4,ยอดขายปีที่แล้ว!B:B,ยอดขายปีที่แล้ว!D:D,0,0)</f>
        <v>684843</v>
      </c>
      <c r="AA4" s="31">
        <f t="shared" si="16"/>
        <v>640040.18691588787</v>
      </c>
      <c r="AB4" s="84">
        <f t="shared" si="17"/>
        <v>815773.83177570091</v>
      </c>
      <c r="AC4" s="37">
        <f t="shared" si="18"/>
        <v>175733.64485981304</v>
      </c>
      <c r="AD4" s="108">
        <f t="shared" si="19"/>
        <v>0.27456657949340207</v>
      </c>
      <c r="AE4" s="30">
        <f>_xlfn.XLOOKUP(A4,ยอดขายเดือนที่เแล้ว!B:B,ยอดขายเดือนที่เแล้ว!D:D,0,0)</f>
        <v>1097035</v>
      </c>
      <c r="AF4" s="27">
        <f t="shared" si="20"/>
        <v>1025266.355140187</v>
      </c>
      <c r="AG4" s="87">
        <f t="shared" si="21"/>
        <v>815773.83177570091</v>
      </c>
      <c r="AH4" s="129">
        <f t="shared" ref="AH4:AH21" si="28">AG4-AF4</f>
        <v>-209492.52336448606</v>
      </c>
      <c r="AI4" s="158">
        <f t="shared" ref="AI4:AI21" si="29">(AG4-AF4)/AF4</f>
        <v>-0.20432985273942952</v>
      </c>
      <c r="AJ4" s="32">
        <v>632943</v>
      </c>
      <c r="AK4" s="31">
        <v>207761</v>
      </c>
      <c r="AL4" s="31">
        <v>177134</v>
      </c>
      <c r="AM4" s="33">
        <v>161178</v>
      </c>
      <c r="AN4" s="32"/>
      <c r="AO4" s="162">
        <f t="shared" ref="AO4:AO21" si="30">AM4-AL4</f>
        <v>-15956</v>
      </c>
      <c r="AP4" s="144">
        <f t="shared" ref="AP4:AP21" si="31">(AM4-AL4)/AL4</f>
        <v>-9.0078697483261264E-2</v>
      </c>
      <c r="AQ4" s="34"/>
      <c r="AR4" s="35"/>
      <c r="AS4" s="10" t="str">
        <f t="shared" ref="AS4:AS9" si="32">A4</f>
        <v>Yuedpao สาขา The Mall โคราช</v>
      </c>
      <c r="AT4" s="11">
        <f t="shared" ref="AT4:AT9" si="33">C4</f>
        <v>700000</v>
      </c>
      <c r="AU4" s="11">
        <f t="shared" ref="AU4:AU9" si="34">F4</f>
        <v>815773.83177570091</v>
      </c>
      <c r="AV4" s="12">
        <f t="shared" si="22"/>
        <v>27192.461059190031</v>
      </c>
      <c r="AW4" s="13">
        <f t="shared" si="23"/>
        <v>842966.29283489089</v>
      </c>
      <c r="AX4" s="152">
        <f t="shared" si="24"/>
        <v>1.2042375611927012</v>
      </c>
      <c r="AY4" s="130">
        <f t="shared" si="25"/>
        <v>40788.691588785048</v>
      </c>
      <c r="AZ4" s="131">
        <f t="shared" si="26"/>
        <v>856562.52336448594</v>
      </c>
      <c r="BA4" s="100">
        <f t="shared" si="27"/>
        <v>1.2236607476635513</v>
      </c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</row>
    <row r="5" spans="1:73" s="36" customFormat="1" ht="60" customHeight="1" x14ac:dyDescent="0.15">
      <c r="A5" s="18" t="s">
        <v>1</v>
      </c>
      <c r="B5" s="19">
        <f t="shared" ref="B5:B9" si="35">(C5*7)/100+C5</f>
        <v>1177000</v>
      </c>
      <c r="C5" s="20">
        <f>_xlfn.XLOOKUP(A5,'Target ปี 2025'!B:B,'Target ปี 2025'!C:C,0,0)</f>
        <v>1100000</v>
      </c>
      <c r="D5" s="20">
        <f t="shared" si="0"/>
        <v>36666.666666666664</v>
      </c>
      <c r="E5" s="84">
        <f>_xlfn.XLOOKUP(A5,ยอดขายปัจจุบัน!B:B,ยอดขายปัจจุบัน!D:D,0,0)</f>
        <v>945055.2</v>
      </c>
      <c r="F5" s="84">
        <f t="shared" si="1"/>
        <v>883229.15887850465</v>
      </c>
      <c r="G5" s="84">
        <f>_xlfn.XLOOKUP(A5,ยอดขายปัจจุบัน!B:B,ยอดขายปัจจุบัน!C:C,0,0)</f>
        <v>1716</v>
      </c>
      <c r="H5" s="85">
        <f t="shared" si="2"/>
        <v>550.73146853146852</v>
      </c>
      <c r="I5" s="21">
        <v>450</v>
      </c>
      <c r="J5" s="22">
        <f t="shared" si="3"/>
        <v>0.18290487158845323</v>
      </c>
      <c r="K5" s="23">
        <f t="shared" si="4"/>
        <v>-154944.80000000005</v>
      </c>
      <c r="L5" s="106">
        <f t="shared" si="5"/>
        <v>0.80293559898045874</v>
      </c>
      <c r="M5" s="88"/>
      <c r="N5" s="25">
        <f t="shared" si="6"/>
        <v>216770.84112149535</v>
      </c>
      <c r="O5" s="24">
        <f t="shared" si="7"/>
        <v>216770.84112149535</v>
      </c>
      <c r="P5" s="25">
        <f t="shared" si="8"/>
        <v>216770.84112149535</v>
      </c>
      <c r="Q5" s="25">
        <f t="shared" si="9"/>
        <v>31501.84</v>
      </c>
      <c r="R5" s="25">
        <f t="shared" ref="R5:R9" si="36">Q5*22</f>
        <v>693040.48</v>
      </c>
      <c r="S5" s="26">
        <f t="shared" ref="S5:S9" si="37">R5/C5</f>
        <v>0.63003679999999995</v>
      </c>
      <c r="T5" s="27">
        <f t="shared" si="10"/>
        <v>238447.9252336449</v>
      </c>
      <c r="U5" s="28">
        <f t="shared" si="11"/>
        <v>238447.9252336449</v>
      </c>
      <c r="V5" s="28">
        <f t="shared" si="12"/>
        <v>260125.00934579442</v>
      </c>
      <c r="W5" s="28">
        <f t="shared" si="13"/>
        <v>260125.00934579442</v>
      </c>
      <c r="X5" s="29">
        <f t="shared" si="14"/>
        <v>5.9956470338459245E-2</v>
      </c>
      <c r="Y5" s="29" t="e">
        <f t="shared" si="15"/>
        <v>#DIV/0!</v>
      </c>
      <c r="Z5" s="30">
        <f>_xlfn.XLOOKUP(A5,ยอดขายปีที่แล้ว!B:B,ยอดขายปีที่แล้ว!D:D,0,0)</f>
        <v>1083013</v>
      </c>
      <c r="AA5" s="31">
        <f t="shared" si="16"/>
        <v>1012161.6822429907</v>
      </c>
      <c r="AB5" s="84">
        <f t="shared" si="17"/>
        <v>883229.15887850465</v>
      </c>
      <c r="AC5" s="37">
        <f t="shared" si="18"/>
        <v>-128932.52336448606</v>
      </c>
      <c r="AD5" s="108">
        <f t="shared" si="19"/>
        <v>-0.12738332780862285</v>
      </c>
      <c r="AE5" s="30">
        <f>_xlfn.XLOOKUP(A5,ยอดขายเดือนที่เแล้ว!B:B,ยอดขายเดือนที่เแล้ว!D:D,0,0)</f>
        <v>1192927.1000000001</v>
      </c>
      <c r="AF5" s="27">
        <f t="shared" si="20"/>
        <v>1114885.1401869161</v>
      </c>
      <c r="AG5" s="87">
        <f t="shared" si="21"/>
        <v>883229.15887850465</v>
      </c>
      <c r="AH5" s="129">
        <f t="shared" si="28"/>
        <v>-231655.98130841146</v>
      </c>
      <c r="AI5" s="158">
        <f t="shared" si="29"/>
        <v>-0.20778461651177194</v>
      </c>
      <c r="AJ5" s="32">
        <v>399075</v>
      </c>
      <c r="AK5" s="31">
        <v>208332</v>
      </c>
      <c r="AL5" s="31">
        <v>233542</v>
      </c>
      <c r="AM5" s="33">
        <v>191692.2</v>
      </c>
      <c r="AN5" s="32"/>
      <c r="AO5" s="162">
        <f t="shared" si="30"/>
        <v>-41849.799999999988</v>
      </c>
      <c r="AP5" s="144">
        <f t="shared" si="31"/>
        <v>-0.17919603326168307</v>
      </c>
      <c r="AQ5" s="34"/>
      <c r="AR5" s="35"/>
      <c r="AS5" s="10" t="str">
        <f t="shared" si="32"/>
        <v>Yuedpao สาขา SIAM SQUARE</v>
      </c>
      <c r="AT5" s="11">
        <f t="shared" si="33"/>
        <v>1100000</v>
      </c>
      <c r="AU5" s="11">
        <f t="shared" si="34"/>
        <v>883229.15887850465</v>
      </c>
      <c r="AV5" s="12">
        <f t="shared" si="22"/>
        <v>29440.971962616823</v>
      </c>
      <c r="AW5" s="13">
        <f t="shared" si="23"/>
        <v>912670.13084112143</v>
      </c>
      <c r="AX5" s="100">
        <f t="shared" si="24"/>
        <v>0.829700118946474</v>
      </c>
      <c r="AY5" s="130">
        <f t="shared" si="25"/>
        <v>44161.457943925234</v>
      </c>
      <c r="AZ5" s="131">
        <f t="shared" si="26"/>
        <v>927390.61682242993</v>
      </c>
      <c r="BA5" s="100">
        <f t="shared" si="27"/>
        <v>0.84308237892948179</v>
      </c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</row>
    <row r="6" spans="1:73" s="36" customFormat="1" ht="60" customHeight="1" x14ac:dyDescent="0.15">
      <c r="A6" s="18" t="s">
        <v>78</v>
      </c>
      <c r="B6" s="19">
        <f t="shared" si="35"/>
        <v>1284000</v>
      </c>
      <c r="C6" s="20">
        <f>_xlfn.XLOOKUP(A6,'Target ปี 2025'!B:B,'Target ปี 2025'!C:C,0,0)</f>
        <v>1200000</v>
      </c>
      <c r="D6" s="20">
        <f t="shared" si="0"/>
        <v>40000</v>
      </c>
      <c r="E6" s="84">
        <f>_xlfn.XLOOKUP(A6,ยอดขายปัจจุบัน!B:B,ยอดขายปัจจุบัน!D:D,0,0)</f>
        <v>1198422</v>
      </c>
      <c r="F6" s="84">
        <f t="shared" si="1"/>
        <v>1120020.5607476635</v>
      </c>
      <c r="G6" s="84">
        <f>_xlfn.XLOOKUP(A6,ยอดขายปัจจุบัน!B:B,ยอดขายปัจจุบัน!C:C,0,0)</f>
        <v>2400</v>
      </c>
      <c r="H6" s="85">
        <f t="shared" si="2"/>
        <v>499.34249999999997</v>
      </c>
      <c r="I6" s="21">
        <v>450</v>
      </c>
      <c r="J6" s="38">
        <f t="shared" si="3"/>
        <v>9.8814941648267429E-2</v>
      </c>
      <c r="K6" s="23">
        <f t="shared" si="4"/>
        <v>-1578</v>
      </c>
      <c r="L6" s="106">
        <f t="shared" si="5"/>
        <v>0.9333504672897196</v>
      </c>
      <c r="M6" s="88"/>
      <c r="N6" s="25">
        <f t="shared" si="6"/>
        <v>79979.43925233651</v>
      </c>
      <c r="O6" s="24">
        <f t="shared" si="7"/>
        <v>79979.43925233651</v>
      </c>
      <c r="P6" s="25">
        <f t="shared" si="8"/>
        <v>79979.43925233651</v>
      </c>
      <c r="Q6" s="25">
        <f t="shared" si="9"/>
        <v>39947.4</v>
      </c>
      <c r="R6" s="25">
        <f t="shared" si="36"/>
        <v>878842.8</v>
      </c>
      <c r="S6" s="26">
        <f t="shared" si="37"/>
        <v>0.73236900000000005</v>
      </c>
      <c r="T6" s="27">
        <f t="shared" si="10"/>
        <v>87977.383177570169</v>
      </c>
      <c r="U6" s="28">
        <f t="shared" si="11"/>
        <v>87977.383177570169</v>
      </c>
      <c r="V6" s="28">
        <f t="shared" si="12"/>
        <v>95975.327102803814</v>
      </c>
      <c r="W6" s="28">
        <f t="shared" si="13"/>
        <v>95975.327102803814</v>
      </c>
      <c r="X6" s="29">
        <f t="shared" si="14"/>
        <v>7.6030641486293085E-2</v>
      </c>
      <c r="Y6" s="29" t="e">
        <f t="shared" si="15"/>
        <v>#DIV/0!</v>
      </c>
      <c r="Z6" s="30">
        <f>_xlfn.XLOOKUP(A6,ยอดขายปีที่แล้ว!B:B,ยอดขายปีที่แล้ว!D:D,0,0)</f>
        <v>1137899</v>
      </c>
      <c r="AA6" s="31">
        <f t="shared" si="16"/>
        <v>1063457.0093457943</v>
      </c>
      <c r="AB6" s="84">
        <f t="shared" si="17"/>
        <v>1120020.5607476635</v>
      </c>
      <c r="AC6" s="37">
        <f t="shared" si="18"/>
        <v>56563.551401869161</v>
      </c>
      <c r="AD6" s="108">
        <f t="shared" si="19"/>
        <v>5.3188376121255057E-2</v>
      </c>
      <c r="AE6" s="30">
        <f>_xlfn.XLOOKUP(A6,ยอดขายเดือนที่เแล้ว!B:B,ยอดขายเดือนที่เแล้ว!D:D,0,0)</f>
        <v>1712255</v>
      </c>
      <c r="AF6" s="31">
        <f t="shared" si="20"/>
        <v>1600238.3177570093</v>
      </c>
      <c r="AG6" s="87">
        <f t="shared" si="21"/>
        <v>1120020.5607476635</v>
      </c>
      <c r="AH6" s="129">
        <f t="shared" si="28"/>
        <v>-480217.75700934581</v>
      </c>
      <c r="AI6" s="158">
        <f t="shared" si="29"/>
        <v>-0.30009139993750933</v>
      </c>
      <c r="AJ6" s="32">
        <v>330227</v>
      </c>
      <c r="AK6" s="31">
        <v>257684</v>
      </c>
      <c r="AL6" s="31">
        <v>236828</v>
      </c>
      <c r="AM6" s="33">
        <v>242839</v>
      </c>
      <c r="AN6" s="32"/>
      <c r="AO6" s="161">
        <f t="shared" si="30"/>
        <v>6011</v>
      </c>
      <c r="AP6" s="147">
        <f t="shared" si="31"/>
        <v>2.5381289374567198E-2</v>
      </c>
      <c r="AQ6" s="34"/>
      <c r="AR6" s="35"/>
      <c r="AS6" s="10" t="str">
        <f t="shared" si="32"/>
        <v>Yuedpao สาขา Central ระยอง</v>
      </c>
      <c r="AT6" s="11">
        <f t="shared" si="33"/>
        <v>1200000</v>
      </c>
      <c r="AU6" s="11">
        <f t="shared" si="34"/>
        <v>1120020.5607476635</v>
      </c>
      <c r="AV6" s="12">
        <f t="shared" si="22"/>
        <v>37334.018691588783</v>
      </c>
      <c r="AW6" s="13">
        <f t="shared" si="23"/>
        <v>1157354.5794392524</v>
      </c>
      <c r="AX6" s="100">
        <f t="shared" si="24"/>
        <v>0.96446214953271037</v>
      </c>
      <c r="AY6" s="130">
        <f t="shared" si="25"/>
        <v>56001.028037383177</v>
      </c>
      <c r="AZ6" s="131">
        <f t="shared" si="26"/>
        <v>1176021.5887850467</v>
      </c>
      <c r="BA6" s="100">
        <f t="shared" si="27"/>
        <v>0.98001799065420558</v>
      </c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</row>
    <row r="7" spans="1:73" s="36" customFormat="1" ht="60" customHeight="1" x14ac:dyDescent="0.15">
      <c r="A7" s="18" t="s">
        <v>129</v>
      </c>
      <c r="B7" s="19">
        <f t="shared" si="35"/>
        <v>642000</v>
      </c>
      <c r="C7" s="20">
        <f>_xlfn.XLOOKUP(A7,'Target ปี 2025'!B:B,'Target ปี 2025'!C:C,0,0)</f>
        <v>600000</v>
      </c>
      <c r="D7" s="20">
        <f t="shared" si="0"/>
        <v>20000</v>
      </c>
      <c r="E7" s="84">
        <f>_xlfn.XLOOKUP(A7,ยอดขายปัจจุบัน!B:B,ยอดขายปัจจุบัน!D:D,0,0)</f>
        <v>620565</v>
      </c>
      <c r="F7" s="84">
        <f t="shared" si="1"/>
        <v>579967.28971962619</v>
      </c>
      <c r="G7" s="84">
        <f>_xlfn.XLOOKUP(A7,ยอดขายปัจจุบัน!B:B,ยอดขายปัจจุบัน!C:C,0,0)</f>
        <v>1273</v>
      </c>
      <c r="H7" s="85">
        <f t="shared" si="2"/>
        <v>487.48232521602512</v>
      </c>
      <c r="I7" s="21">
        <v>450</v>
      </c>
      <c r="J7" s="22">
        <f t="shared" si="3"/>
        <v>7.6889608663073122E-2</v>
      </c>
      <c r="K7" s="23">
        <f t="shared" si="4"/>
        <v>20565</v>
      </c>
      <c r="L7" s="106">
        <f t="shared" si="5"/>
        <v>0.96661214953271035</v>
      </c>
      <c r="M7" s="88"/>
      <c r="N7" s="25">
        <f t="shared" si="6"/>
        <v>20032.710280373809</v>
      </c>
      <c r="O7" s="24">
        <f t="shared" si="7"/>
        <v>20032.710280373809</v>
      </c>
      <c r="P7" s="25">
        <f t="shared" si="8"/>
        <v>20032.710280373809</v>
      </c>
      <c r="Q7" s="25">
        <f t="shared" si="9"/>
        <v>20685.5</v>
      </c>
      <c r="R7" s="25">
        <f t="shared" si="36"/>
        <v>455081</v>
      </c>
      <c r="S7" s="26">
        <f t="shared" si="37"/>
        <v>0.7584683333333333</v>
      </c>
      <c r="T7" s="27">
        <f t="shared" si="10"/>
        <v>22035.981308411192</v>
      </c>
      <c r="U7" s="28">
        <f t="shared" si="11"/>
        <v>22035.981308411192</v>
      </c>
      <c r="V7" s="28">
        <f t="shared" si="12"/>
        <v>24039.252336448571</v>
      </c>
      <c r="W7" s="28">
        <f t="shared" si="13"/>
        <v>24039.252336448571</v>
      </c>
      <c r="X7" s="29">
        <f t="shared" si="14"/>
        <v>3.9370067500380891E-2</v>
      </c>
      <c r="Y7" s="29" t="e">
        <f t="shared" si="15"/>
        <v>#DIV/0!</v>
      </c>
      <c r="Z7" s="30">
        <f>_xlfn.XLOOKUP(A7,ยอดขายปีที่แล้ว!B:B,ยอดขายปีที่แล้ว!D:D,0,0)</f>
        <v>451737</v>
      </c>
      <c r="AA7" s="31">
        <f t="shared" si="16"/>
        <v>422184.11214953271</v>
      </c>
      <c r="AB7" s="84">
        <f t="shared" si="17"/>
        <v>579967.28971962619</v>
      </c>
      <c r="AC7" s="37">
        <f t="shared" si="18"/>
        <v>157783.17757009348</v>
      </c>
      <c r="AD7" s="108">
        <f t="shared" si="19"/>
        <v>0.37373073270509172</v>
      </c>
      <c r="AE7" s="30">
        <f>_xlfn.XLOOKUP(A7,ยอดขายเดือนที่เแล้ว!B:B,ยอดขายเดือนที่เแล้ว!D:D,0,0)</f>
        <v>832486</v>
      </c>
      <c r="AF7" s="27">
        <f t="shared" si="20"/>
        <v>778024.29906542052</v>
      </c>
      <c r="AG7" s="87">
        <f t="shared" si="21"/>
        <v>579967.28971962619</v>
      </c>
      <c r="AH7" s="129">
        <f t="shared" si="28"/>
        <v>-198057.00934579433</v>
      </c>
      <c r="AI7" s="158">
        <f t="shared" si="29"/>
        <v>-0.25456404071660055</v>
      </c>
      <c r="AJ7" s="32">
        <v>470816</v>
      </c>
      <c r="AK7" s="31">
        <v>102180</v>
      </c>
      <c r="AL7" s="31">
        <v>148342</v>
      </c>
      <c r="AM7" s="33">
        <v>117474</v>
      </c>
      <c r="AN7" s="32"/>
      <c r="AO7" s="162">
        <f t="shared" si="30"/>
        <v>-30868</v>
      </c>
      <c r="AP7" s="144">
        <f t="shared" si="31"/>
        <v>-0.20808671852880506</v>
      </c>
      <c r="AQ7" s="34"/>
      <c r="AR7" s="35"/>
      <c r="AS7" s="10" t="str">
        <f t="shared" si="32"/>
        <v>Yuedpao สาขา Central โคราช</v>
      </c>
      <c r="AT7" s="11">
        <f t="shared" si="33"/>
        <v>600000</v>
      </c>
      <c r="AU7" s="11">
        <f t="shared" si="34"/>
        <v>579967.28971962619</v>
      </c>
      <c r="AV7" s="12">
        <f t="shared" si="22"/>
        <v>19332.242990654206</v>
      </c>
      <c r="AW7" s="13">
        <f t="shared" si="23"/>
        <v>599299.53271028039</v>
      </c>
      <c r="AX7" s="100">
        <f t="shared" si="24"/>
        <v>0.99883255451713393</v>
      </c>
      <c r="AY7" s="130">
        <f t="shared" si="25"/>
        <v>28998.364485981307</v>
      </c>
      <c r="AZ7" s="131">
        <f t="shared" si="26"/>
        <v>608965.65420560748</v>
      </c>
      <c r="BA7" s="100">
        <f t="shared" si="27"/>
        <v>1.0149427570093459</v>
      </c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</row>
    <row r="8" spans="1:73" s="36" customFormat="1" ht="60" customHeight="1" x14ac:dyDescent="0.15">
      <c r="A8" s="18" t="s">
        <v>167</v>
      </c>
      <c r="B8" s="19">
        <f t="shared" si="35"/>
        <v>535000</v>
      </c>
      <c r="C8" s="20">
        <f>_xlfn.XLOOKUP(A8,'Target ปี 2025'!B:B,'Target ปี 2025'!C:C,0,0)</f>
        <v>500000</v>
      </c>
      <c r="D8" s="20">
        <f t="shared" si="0"/>
        <v>16666.666666666668</v>
      </c>
      <c r="E8" s="84">
        <f>_xlfn.XLOOKUP(A8,ยอดขายปัจจุบัน!B:B,ยอดขายปัจจุบัน!D:D,0,0)</f>
        <v>629096</v>
      </c>
      <c r="F8" s="84">
        <f t="shared" si="1"/>
        <v>587940.18691588787</v>
      </c>
      <c r="G8" s="84">
        <f>_xlfn.XLOOKUP(A8,ยอดขายปัจจุบัน!B:B,ยอดขายปัจจุบัน!C:C,0,0)</f>
        <v>1257</v>
      </c>
      <c r="H8" s="85">
        <f t="shared" si="2"/>
        <v>500.47414478918057</v>
      </c>
      <c r="I8" s="21">
        <v>330</v>
      </c>
      <c r="J8" s="22">
        <f t="shared" si="3"/>
        <v>0.34062527817693961</v>
      </c>
      <c r="K8" s="23">
        <f t="shared" si="4"/>
        <v>129096</v>
      </c>
      <c r="L8" s="166">
        <f t="shared" si="5"/>
        <v>1.1758803738317758</v>
      </c>
      <c r="M8" s="88"/>
      <c r="N8" s="25">
        <f t="shared" si="6"/>
        <v>-87940.186915887869</v>
      </c>
      <c r="O8" s="24">
        <f t="shared" si="7"/>
        <v>-87940.186915887869</v>
      </c>
      <c r="P8" s="25">
        <f t="shared" si="8"/>
        <v>-87940.186915887869</v>
      </c>
      <c r="Q8" s="25">
        <f t="shared" si="9"/>
        <v>20969.866666666665</v>
      </c>
      <c r="R8" s="25">
        <f t="shared" si="36"/>
        <v>461337.06666666665</v>
      </c>
      <c r="S8" s="26">
        <f t="shared" si="37"/>
        <v>0.92267413333333326</v>
      </c>
      <c r="T8" s="27">
        <f t="shared" si="10"/>
        <v>-96734.205607476659</v>
      </c>
      <c r="U8" s="28">
        <f t="shared" si="11"/>
        <v>-96734.205607476659</v>
      </c>
      <c r="V8" s="28">
        <f t="shared" si="12"/>
        <v>-105528.22429906543</v>
      </c>
      <c r="W8" s="28">
        <f t="shared" si="13"/>
        <v>-105528.22429906543</v>
      </c>
      <c r="X8" s="29">
        <f t="shared" si="14"/>
        <v>3.9911293714952695E-2</v>
      </c>
      <c r="Y8" s="29" t="e">
        <f t="shared" si="15"/>
        <v>#DIV/0!</v>
      </c>
      <c r="Z8" s="30">
        <f>_xlfn.XLOOKUP(A8,ยอดขายปีที่แล้ว!B:B,ยอดขายปีที่แล้ว!D:D,0,0)</f>
        <v>452762</v>
      </c>
      <c r="AA8" s="31">
        <f t="shared" si="16"/>
        <v>423142.05607476638</v>
      </c>
      <c r="AB8" s="84">
        <f t="shared" si="17"/>
        <v>587940.18691588787</v>
      </c>
      <c r="AC8" s="37">
        <f t="shared" si="18"/>
        <v>164798.13084112148</v>
      </c>
      <c r="AD8" s="108">
        <f t="shared" si="19"/>
        <v>0.38946289662118283</v>
      </c>
      <c r="AE8" s="30">
        <f>_xlfn.XLOOKUP(A8,ยอดขายเดือนที่เแล้ว!B:B,ยอดขายเดือนที่เแล้ว!D:D,0,0)</f>
        <v>787019</v>
      </c>
      <c r="AF8" s="27">
        <f t="shared" si="20"/>
        <v>735531.77570093458</v>
      </c>
      <c r="AG8" s="87">
        <f t="shared" si="21"/>
        <v>587940.18691588787</v>
      </c>
      <c r="AH8" s="129">
        <f t="shared" si="28"/>
        <v>-147591.58878504671</v>
      </c>
      <c r="AI8" s="158">
        <f t="shared" si="29"/>
        <v>-0.20065970453064028</v>
      </c>
      <c r="AJ8" s="32">
        <v>309246</v>
      </c>
      <c r="AK8" s="31">
        <v>118227</v>
      </c>
      <c r="AL8" s="31">
        <v>108099</v>
      </c>
      <c r="AM8" s="33">
        <v>133687</v>
      </c>
      <c r="AN8" s="32"/>
      <c r="AO8" s="161">
        <f t="shared" si="30"/>
        <v>25588</v>
      </c>
      <c r="AP8" s="147">
        <f t="shared" si="31"/>
        <v>0.23670894272842488</v>
      </c>
      <c r="AQ8" s="34"/>
      <c r="AR8" s="35"/>
      <c r="AS8" s="10" t="str">
        <f t="shared" si="32"/>
        <v>Yuedpao สาขา Robinson บุรีรัมย์</v>
      </c>
      <c r="AT8" s="11">
        <f t="shared" si="33"/>
        <v>500000</v>
      </c>
      <c r="AU8" s="11">
        <f t="shared" si="34"/>
        <v>587940.18691588787</v>
      </c>
      <c r="AV8" s="12">
        <f t="shared" si="22"/>
        <v>19598.006230529594</v>
      </c>
      <c r="AW8" s="13">
        <f t="shared" si="23"/>
        <v>607538.1931464175</v>
      </c>
      <c r="AX8" s="152">
        <f t="shared" si="24"/>
        <v>1.2150763862928351</v>
      </c>
      <c r="AY8" s="130">
        <f t="shared" si="25"/>
        <v>29397.009345794391</v>
      </c>
      <c r="AZ8" s="131">
        <f t="shared" si="26"/>
        <v>617337.19626168231</v>
      </c>
      <c r="BA8" s="100">
        <f t="shared" si="27"/>
        <v>1.2346743925233645</v>
      </c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</row>
    <row r="9" spans="1:73" s="36" customFormat="1" ht="60" customHeight="1" x14ac:dyDescent="0.15">
      <c r="A9" s="18" t="s">
        <v>190</v>
      </c>
      <c r="B9" s="19">
        <f t="shared" si="35"/>
        <v>1284000</v>
      </c>
      <c r="C9" s="20">
        <f>_xlfn.XLOOKUP(A9,'Target ปี 2025'!B:B,'Target ปี 2025'!C:C,0,0)</f>
        <v>1200000</v>
      </c>
      <c r="D9" s="20">
        <f t="shared" si="0"/>
        <v>40000</v>
      </c>
      <c r="E9" s="84">
        <f>_xlfn.XLOOKUP(A9,ยอดขายปัจจุบัน!B:B,ยอดขายปัจจุบัน!D:D,0,0)</f>
        <v>1474698</v>
      </c>
      <c r="F9" s="84">
        <f t="shared" si="1"/>
        <v>1378222.4299065419</v>
      </c>
      <c r="G9" s="84">
        <f>_xlfn.XLOOKUP(A9,ยอดขายปัจจุบัน!B:B,ยอดขายปัจจุบัน!C:C,0,0)</f>
        <v>3837</v>
      </c>
      <c r="H9" s="85">
        <f t="shared" si="2"/>
        <v>384.33620015637217</v>
      </c>
      <c r="I9" s="21">
        <v>450</v>
      </c>
      <c r="J9" s="38">
        <f t="shared" si="3"/>
        <v>-0.17084989604651254</v>
      </c>
      <c r="K9" s="23">
        <f t="shared" si="4"/>
        <v>274698</v>
      </c>
      <c r="L9" s="166">
        <f t="shared" si="5"/>
        <v>1.1485186915887851</v>
      </c>
      <c r="M9" s="88"/>
      <c r="N9" s="25">
        <f t="shared" si="6"/>
        <v>-178222.42990654195</v>
      </c>
      <c r="O9" s="24">
        <f t="shared" si="7"/>
        <v>-178222.42990654195</v>
      </c>
      <c r="P9" s="25">
        <f t="shared" si="8"/>
        <v>-178222.42990654195</v>
      </c>
      <c r="Q9" s="25">
        <f t="shared" si="9"/>
        <v>49156.6</v>
      </c>
      <c r="R9" s="25">
        <f t="shared" si="36"/>
        <v>1081445.2</v>
      </c>
      <c r="S9" s="26">
        <f t="shared" si="37"/>
        <v>0.90120433333333327</v>
      </c>
      <c r="T9" s="27">
        <f t="shared" si="10"/>
        <v>-196044.67289719617</v>
      </c>
      <c r="U9" s="28">
        <f t="shared" si="11"/>
        <v>-196044.67289719617</v>
      </c>
      <c r="V9" s="28">
        <f t="shared" si="12"/>
        <v>-213866.91588785034</v>
      </c>
      <c r="W9" s="28">
        <f t="shared" si="13"/>
        <v>-213866.91588785034</v>
      </c>
      <c r="X9" s="29">
        <f t="shared" si="14"/>
        <v>9.3558224847802726E-2</v>
      </c>
      <c r="Y9" s="29" t="e">
        <f t="shared" si="15"/>
        <v>#DIV/0!</v>
      </c>
      <c r="Z9" s="30">
        <f>_xlfn.XLOOKUP(A9,ยอดขายปีที่แล้ว!B:B,ยอดขายปีที่แล้ว!D:D,0,0)</f>
        <v>1137207</v>
      </c>
      <c r="AA9" s="31">
        <f t="shared" si="16"/>
        <v>1062810.2803738317</v>
      </c>
      <c r="AB9" s="84">
        <f t="shared" si="17"/>
        <v>1378222.4299065419</v>
      </c>
      <c r="AC9" s="37">
        <f t="shared" si="18"/>
        <v>315412.1495327102</v>
      </c>
      <c r="AD9" s="108">
        <f t="shared" si="19"/>
        <v>0.29677182782026484</v>
      </c>
      <c r="AE9" s="30">
        <f>_xlfn.XLOOKUP(A9,ยอดขายเดือนที่เแล้ว!B:B,ยอดขายเดือนที่เแล้ว!D:D,0,0)</f>
        <v>1689429</v>
      </c>
      <c r="AF9" s="27">
        <f t="shared" si="20"/>
        <v>1578905.6074766356</v>
      </c>
      <c r="AG9" s="87">
        <f t="shared" si="21"/>
        <v>1378222.4299065419</v>
      </c>
      <c r="AH9" s="129">
        <f t="shared" si="28"/>
        <v>-200683.17757009366</v>
      </c>
      <c r="AI9" s="158">
        <f t="shared" si="29"/>
        <v>-0.12710270748282421</v>
      </c>
      <c r="AJ9" s="32">
        <v>139836</v>
      </c>
      <c r="AK9" s="31">
        <v>338620</v>
      </c>
      <c r="AL9" s="31">
        <v>344156</v>
      </c>
      <c r="AM9" s="33">
        <v>296966</v>
      </c>
      <c r="AN9" s="32"/>
      <c r="AO9" s="162">
        <f t="shared" si="30"/>
        <v>-47190</v>
      </c>
      <c r="AP9" s="144">
        <f t="shared" si="31"/>
        <v>-0.13711805111635422</v>
      </c>
      <c r="AQ9" s="34" t="s">
        <v>234</v>
      </c>
      <c r="AR9" s="35"/>
      <c r="AS9" s="10" t="str">
        <f t="shared" si="32"/>
        <v>Yuedpao สาขา MAYA เชียงใหม่</v>
      </c>
      <c r="AT9" s="11">
        <f t="shared" si="33"/>
        <v>1200000</v>
      </c>
      <c r="AU9" s="11">
        <f t="shared" si="34"/>
        <v>1378222.4299065419</v>
      </c>
      <c r="AV9" s="12">
        <f t="shared" si="22"/>
        <v>45940.747663551396</v>
      </c>
      <c r="AW9" s="13">
        <f t="shared" si="23"/>
        <v>1424163.1775700934</v>
      </c>
      <c r="AX9" s="152">
        <f t="shared" si="24"/>
        <v>1.186802647975078</v>
      </c>
      <c r="AY9" s="130">
        <f t="shared" si="25"/>
        <v>68911.121495327097</v>
      </c>
      <c r="AZ9" s="131">
        <f t="shared" si="26"/>
        <v>1447133.5514018689</v>
      </c>
      <c r="BA9" s="100">
        <f t="shared" si="27"/>
        <v>1.2059446261682241</v>
      </c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</row>
    <row r="10" spans="1:73" s="36" customFormat="1" ht="21" customHeight="1" x14ac:dyDescent="0.15">
      <c r="A10" s="107" t="s">
        <v>216</v>
      </c>
      <c r="B10" s="89"/>
      <c r="C10" s="90"/>
      <c r="D10" s="90"/>
      <c r="E10" s="91"/>
      <c r="F10" s="91"/>
      <c r="G10" s="91"/>
      <c r="H10" s="92"/>
      <c r="I10" s="93"/>
      <c r="J10" s="94"/>
      <c r="K10" s="94"/>
      <c r="L10" s="94"/>
      <c r="M10" s="94"/>
      <c r="N10" s="95"/>
      <c r="O10" s="90"/>
      <c r="P10" s="95"/>
      <c r="Q10" s="95"/>
      <c r="R10" s="95"/>
      <c r="S10" s="96"/>
      <c r="T10" s="90"/>
      <c r="U10" s="97"/>
      <c r="V10" s="97"/>
      <c r="W10" s="97"/>
      <c r="X10" s="98"/>
      <c r="Y10" s="98"/>
      <c r="Z10" s="90"/>
      <c r="AA10" s="91"/>
      <c r="AB10" s="91"/>
      <c r="AC10" s="91"/>
      <c r="AD10" s="91"/>
      <c r="AE10" s="91"/>
      <c r="AF10" s="90"/>
      <c r="AG10" s="90"/>
      <c r="AH10" s="90"/>
      <c r="AI10" s="90"/>
      <c r="AJ10" s="91"/>
      <c r="AK10" s="91"/>
      <c r="AL10" s="91"/>
      <c r="AM10" s="91"/>
      <c r="AN10" s="91"/>
      <c r="AO10" s="163"/>
      <c r="AP10" s="98"/>
      <c r="AQ10" s="99"/>
      <c r="AR10" s="35"/>
      <c r="AS10" s="168" t="s">
        <v>216</v>
      </c>
      <c r="AT10" s="101"/>
      <c r="AU10" s="101"/>
      <c r="AV10" s="102"/>
      <c r="AW10" s="103"/>
      <c r="AX10" s="103"/>
      <c r="AY10" s="132"/>
      <c r="AZ10" s="132"/>
      <c r="BA10" s="132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</row>
    <row r="11" spans="1:73" s="36" customFormat="1" ht="60" customHeight="1" x14ac:dyDescent="0.15">
      <c r="A11" s="18" t="s">
        <v>49</v>
      </c>
      <c r="B11" s="19">
        <f>(C11*7)/100+C11</f>
        <v>2354000</v>
      </c>
      <c r="C11" s="20">
        <f>_xlfn.XLOOKUP(A11,'Target ปี 2025'!B:B,'Target ปี 2025'!C:C,0,0)</f>
        <v>2200000</v>
      </c>
      <c r="D11" s="20">
        <f t="shared" ref="D11:D16" si="38">C11/30</f>
        <v>73333.333333333328</v>
      </c>
      <c r="E11" s="84">
        <f>_xlfn.XLOOKUP(A11,ยอดขายปัจจุบัน!B:B,ยอดขายปัจจุบัน!D:D,0,0)</f>
        <v>2122760</v>
      </c>
      <c r="F11" s="84">
        <f t="shared" ref="F11:F16" si="39">E11*100/107</f>
        <v>1983887.8504672898</v>
      </c>
      <c r="G11" s="84">
        <f>_xlfn.XLOOKUP(A11,ยอดขายปัจจุบัน!B:B,ยอดขายปัจจุบัน!C:C,0,0)</f>
        <v>4199</v>
      </c>
      <c r="H11" s="85">
        <f t="shared" ref="H11:H21" si="40">E11/G11</f>
        <v>505.53941414622528</v>
      </c>
      <c r="I11" s="21">
        <v>400</v>
      </c>
      <c r="J11" s="22">
        <f t="shared" ref="J11:J21" si="41">(H11-I11)/H11</f>
        <v>0.20876594622095762</v>
      </c>
      <c r="K11" s="23">
        <f t="shared" ref="K11:K16" si="42">(E11-C11)/$E$36</f>
        <v>-77240</v>
      </c>
      <c r="L11" s="106">
        <f t="shared" si="5"/>
        <v>0.90176720475785899</v>
      </c>
      <c r="M11" s="86"/>
      <c r="N11" s="25">
        <f t="shared" ref="N11:N16" si="43">C11-F11</f>
        <v>216112.1495327102</v>
      </c>
      <c r="O11" s="24">
        <f t="shared" ref="O11:O16" si="44">N11/$E$36</f>
        <v>216112.1495327102</v>
      </c>
      <c r="P11" s="25">
        <f t="shared" ref="P11:P16" si="45">SUM(N11/$E$36)</f>
        <v>216112.1495327102</v>
      </c>
      <c r="Q11" s="25">
        <f t="shared" ref="Q11:Q16" si="46">E11/$D$36</f>
        <v>70758.666666666672</v>
      </c>
      <c r="R11" s="25">
        <f t="shared" ref="R11:R16" si="47">Q11*22</f>
        <v>1556690.6666666667</v>
      </c>
      <c r="S11" s="26">
        <f t="shared" ref="S11:S16" si="48">R11/C11</f>
        <v>0.7075866666666667</v>
      </c>
      <c r="T11" s="27">
        <f t="shared" ref="T11:T16" si="49">(C11-F11)*110%</f>
        <v>237723.36448598123</v>
      </c>
      <c r="U11" s="28">
        <f t="shared" ref="U11:U16" si="50">T11/$E$36</f>
        <v>237723.36448598123</v>
      </c>
      <c r="V11" s="28">
        <f t="shared" ref="V11:V16" si="51">(C11-F11)*120%</f>
        <v>259334.57943925224</v>
      </c>
      <c r="W11" s="28">
        <f t="shared" ref="W11:W16" si="52">SUM(V11/$E$36)</f>
        <v>259334.57943925224</v>
      </c>
      <c r="X11" s="29">
        <f t="shared" ref="X11:X16" si="53">E11/$E$21</f>
        <v>0.13467276512066995</v>
      </c>
      <c r="Y11" s="29" t="e">
        <f t="shared" ref="Y11:Y16" si="54">E11/$H$36</f>
        <v>#DIV/0!</v>
      </c>
      <c r="Z11" s="30">
        <f>_xlfn.XLOOKUP(A11,ยอดขายปีที่แล้ว!B:B,ยอดขายปีที่แล้ว!D:D,0,0)</f>
        <v>1933578.5</v>
      </c>
      <c r="AA11" s="31">
        <f t="shared" ref="AA11:AA16" si="55">Z11*100/107</f>
        <v>1807082.7102803739</v>
      </c>
      <c r="AB11" s="84">
        <f t="shared" ref="AB11:AB16" si="56">F11</f>
        <v>1983887.8504672898</v>
      </c>
      <c r="AC11" s="37">
        <f t="shared" ref="AC11:AC21" si="57">AB11-AA11</f>
        <v>176805.14018691587</v>
      </c>
      <c r="AD11" s="108">
        <f t="shared" ref="AD11:AD16" si="58">(AB11-AA11)/AA11</f>
        <v>9.7840092864085931E-2</v>
      </c>
      <c r="AE11" s="30">
        <f>_xlfn.XLOOKUP(A11,ยอดขายเดือนที่เแล้ว!B:B,ยอดขายเดือนที่เแล้ว!D:D,0,0)</f>
        <v>2268063.5</v>
      </c>
      <c r="AF11" s="27">
        <f t="shared" ref="AF11:AF16" si="59">AE11*100/107</f>
        <v>2119685.5140186916</v>
      </c>
      <c r="AG11" s="87">
        <f t="shared" ref="AG11:AG16" si="60">F11</f>
        <v>1983887.8504672898</v>
      </c>
      <c r="AH11" s="167">
        <f t="shared" si="28"/>
        <v>-135797.66355140181</v>
      </c>
      <c r="AI11" s="113">
        <f t="shared" si="29"/>
        <v>-6.4065005234641773E-2</v>
      </c>
      <c r="AJ11" s="32">
        <v>439323</v>
      </c>
      <c r="AK11" s="31">
        <v>476202</v>
      </c>
      <c r="AL11" s="31">
        <v>468528</v>
      </c>
      <c r="AM11" s="33">
        <v>403010</v>
      </c>
      <c r="AN11" s="32"/>
      <c r="AO11" s="162">
        <f t="shared" si="30"/>
        <v>-65518</v>
      </c>
      <c r="AP11" s="144">
        <f t="shared" si="31"/>
        <v>-0.13983796059146944</v>
      </c>
      <c r="AQ11" s="34" t="s">
        <v>307</v>
      </c>
      <c r="AR11" s="35"/>
      <c r="AS11" s="10" t="str">
        <f>A11</f>
        <v>Yuedpao สาขา Future Park Rangsit ชั้น 3</v>
      </c>
      <c r="AT11" s="11">
        <f>C11</f>
        <v>2200000</v>
      </c>
      <c r="AU11" s="11">
        <f>F11</f>
        <v>1983887.8504672898</v>
      </c>
      <c r="AV11" s="12">
        <f>AU11/$D$36</f>
        <v>66129.595015576328</v>
      </c>
      <c r="AW11" s="13">
        <f>(AV11*$E$36)+AU11</f>
        <v>2050017.4454828661</v>
      </c>
      <c r="AX11" s="137">
        <f t="shared" ref="AX11:AX19" si="61">AW11/AT11</f>
        <v>0.93182611158312101</v>
      </c>
      <c r="AY11" s="130">
        <f t="shared" si="25"/>
        <v>99194.392523364484</v>
      </c>
      <c r="AZ11" s="131">
        <f>(AY11*$E$36)+AU11</f>
        <v>2083082.2429906542</v>
      </c>
      <c r="BA11" s="100">
        <f t="shared" si="27"/>
        <v>0.94685556499575185</v>
      </c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</row>
    <row r="12" spans="1:73" s="36" customFormat="1" ht="60" customHeight="1" x14ac:dyDescent="0.15">
      <c r="A12" s="18" t="s">
        <v>38</v>
      </c>
      <c r="B12" s="19">
        <f t="shared" ref="B12:B13" si="62">(C12*7)/100+C12</f>
        <v>1498000</v>
      </c>
      <c r="C12" s="20">
        <f>_xlfn.XLOOKUP(A12,'Target ปี 2025'!B:B,'Target ปี 2025'!C:C,0,0)</f>
        <v>1400000</v>
      </c>
      <c r="D12" s="20">
        <f t="shared" si="38"/>
        <v>46666.666666666664</v>
      </c>
      <c r="E12" s="84">
        <f>_xlfn.XLOOKUP(A12,ยอดขายปัจจุบัน!B:B,ยอดขายปัจจุบัน!D:D,0,0)</f>
        <v>1272433.8</v>
      </c>
      <c r="F12" s="84">
        <f t="shared" si="39"/>
        <v>1189190.4672897197</v>
      </c>
      <c r="G12" s="84">
        <f>_xlfn.XLOOKUP(A12,ยอดขายปัจจุบัน!B:B,ยอดขายปัจจุบัน!C:C,0,0)</f>
        <v>2564</v>
      </c>
      <c r="H12" s="85">
        <f t="shared" ref="H12" si="63">E12/G12</f>
        <v>496.26903276131048</v>
      </c>
      <c r="I12" s="21">
        <v>401</v>
      </c>
      <c r="J12" s="22">
        <f t="shared" ref="J12" si="64">(H12-I12)/H12</f>
        <v>0.19197053709198864</v>
      </c>
      <c r="K12" s="23">
        <f t="shared" si="42"/>
        <v>-127566.19999999995</v>
      </c>
      <c r="L12" s="106">
        <f t="shared" ref="L12" si="65">F12/C12</f>
        <v>0.84942176234979982</v>
      </c>
      <c r="M12" s="86"/>
      <c r="N12" s="25">
        <f t="shared" si="43"/>
        <v>210809.53271028027</v>
      </c>
      <c r="O12" s="24">
        <f t="shared" si="44"/>
        <v>210809.53271028027</v>
      </c>
      <c r="P12" s="25">
        <f t="shared" si="45"/>
        <v>210809.53271028027</v>
      </c>
      <c r="Q12" s="25">
        <f t="shared" si="46"/>
        <v>42414.46</v>
      </c>
      <c r="R12" s="25">
        <f t="shared" si="47"/>
        <v>933118.12</v>
      </c>
      <c r="S12" s="26">
        <f t="shared" si="48"/>
        <v>0.66651294285714291</v>
      </c>
      <c r="T12" s="27">
        <f t="shared" si="49"/>
        <v>231890.4859813083</v>
      </c>
      <c r="U12" s="28">
        <f t="shared" si="50"/>
        <v>231890.4859813083</v>
      </c>
      <c r="V12" s="28">
        <f t="shared" si="51"/>
        <v>252971.43925233631</v>
      </c>
      <c r="W12" s="28">
        <f t="shared" si="52"/>
        <v>252971.43925233631</v>
      </c>
      <c r="X12" s="29">
        <f t="shared" si="53"/>
        <v>8.0726119900036516E-2</v>
      </c>
      <c r="Y12" s="29" t="e">
        <f t="shared" si="54"/>
        <v>#DIV/0!</v>
      </c>
      <c r="Z12" s="30">
        <f>_xlfn.XLOOKUP(A12,ยอดขายปีที่แล้ว!B:B,ยอดขายปีที่แล้ว!D:D,0,0)</f>
        <v>963741.5</v>
      </c>
      <c r="AA12" s="31">
        <f t="shared" si="55"/>
        <v>900692.99065420555</v>
      </c>
      <c r="AB12" s="84">
        <f t="shared" si="56"/>
        <v>1189190.4672897197</v>
      </c>
      <c r="AC12" s="37">
        <f t="shared" ref="AC12" si="66">AB12-AA12</f>
        <v>288497.47663551418</v>
      </c>
      <c r="AD12" s="108">
        <f t="shared" ref="AD12" si="67">(AB12-AA12)/AA12</f>
        <v>0.32030611943140375</v>
      </c>
      <c r="AE12" s="30">
        <f>_xlfn.XLOOKUP(A12,ยอดขายเดือนที่เแล้ว!B:B,ยอดขายเดือนที่เแล้ว!D:D,0,0)</f>
        <v>1582157.0999999999</v>
      </c>
      <c r="AF12" s="27">
        <f t="shared" si="59"/>
        <v>1478651.4953271027</v>
      </c>
      <c r="AG12" s="87">
        <f t="shared" si="60"/>
        <v>1189190.4672897197</v>
      </c>
      <c r="AH12" s="129">
        <f t="shared" si="28"/>
        <v>-289461.02803738299</v>
      </c>
      <c r="AI12" s="158">
        <f t="shared" si="29"/>
        <v>-0.19576014290869082</v>
      </c>
      <c r="AJ12" s="32">
        <v>439324</v>
      </c>
      <c r="AK12" s="31">
        <v>273810</v>
      </c>
      <c r="AL12" s="31">
        <v>240234</v>
      </c>
      <c r="AM12" s="33">
        <v>265538</v>
      </c>
      <c r="AN12" s="32"/>
      <c r="AO12" s="161">
        <f t="shared" si="30"/>
        <v>25304</v>
      </c>
      <c r="AP12" s="147">
        <f t="shared" si="31"/>
        <v>0.10533063596326915</v>
      </c>
      <c r="AQ12" s="34" t="s">
        <v>313</v>
      </c>
      <c r="AR12" s="35"/>
      <c r="AS12" s="10" t="str">
        <f t="shared" ref="AS12:AS19" si="68">A12</f>
        <v>Yuedpao สาขา Central Festival เชียงใหม่</v>
      </c>
      <c r="AT12" s="11">
        <f t="shared" ref="AT12:AT19" si="69">C12</f>
        <v>1400000</v>
      </c>
      <c r="AU12" s="11">
        <f t="shared" ref="AU12:AU19" si="70">F12</f>
        <v>1189190.4672897197</v>
      </c>
      <c r="AV12" s="12">
        <f t="shared" ref="AV12:AV19" si="71">AU12/$D$36</f>
        <v>39639.682242990661</v>
      </c>
      <c r="AW12" s="13">
        <f t="shared" ref="AW12:AW19" si="72">(AV12*$E$36)+AU12</f>
        <v>1228830.1495327104</v>
      </c>
      <c r="AX12" s="137">
        <f t="shared" si="61"/>
        <v>0.8777358210947932</v>
      </c>
      <c r="AY12" s="130">
        <f t="shared" si="25"/>
        <v>59459.523364485991</v>
      </c>
      <c r="AZ12" s="131">
        <f t="shared" ref="AZ12:AZ19" si="73">(AY12*$E$36)+AU12</f>
        <v>1248649.9906542057</v>
      </c>
      <c r="BA12" s="100">
        <f t="shared" si="27"/>
        <v>0.89189285046728972</v>
      </c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</row>
    <row r="13" spans="1:73" s="36" customFormat="1" ht="60" customHeight="1" x14ac:dyDescent="0.15">
      <c r="A13" s="18" t="s">
        <v>51</v>
      </c>
      <c r="B13" s="19">
        <f t="shared" si="62"/>
        <v>749000</v>
      </c>
      <c r="C13" s="20">
        <f>_xlfn.XLOOKUP(A13,'Target ปี 2025'!B:B,'Target ปี 2025'!C:C,0,0)</f>
        <v>700000</v>
      </c>
      <c r="D13" s="20">
        <f t="shared" si="38"/>
        <v>23333.333333333332</v>
      </c>
      <c r="E13" s="84">
        <f>_xlfn.XLOOKUP(A13,ยอดขายปัจจุบัน!B:B,ยอดขายปัจจุบัน!D:D,0,0)</f>
        <v>836250</v>
      </c>
      <c r="F13" s="84">
        <f t="shared" si="39"/>
        <v>781542.05607476633</v>
      </c>
      <c r="G13" s="84">
        <f>_xlfn.XLOOKUP(A13,ยอดขายปัจจุบัน!B:B,ยอดขายปัจจุบัน!C:C,0,0)</f>
        <v>1489</v>
      </c>
      <c r="H13" s="85">
        <f t="shared" ref="H13" si="74">E13/G13</f>
        <v>561.61853593015451</v>
      </c>
      <c r="I13" s="21">
        <v>401</v>
      </c>
      <c r="J13" s="22">
        <f t="shared" ref="J13" si="75">(H13-I13)/H13</f>
        <v>0.28599222720478329</v>
      </c>
      <c r="K13" s="23">
        <f t="shared" si="42"/>
        <v>136250</v>
      </c>
      <c r="L13" s="166">
        <f t="shared" ref="L13" si="76">F13/C13</f>
        <v>1.1164886515353805</v>
      </c>
      <c r="M13" s="86"/>
      <c r="N13" s="25">
        <f t="shared" si="43"/>
        <v>-81542.056074766326</v>
      </c>
      <c r="O13" s="24">
        <f t="shared" si="44"/>
        <v>-81542.056074766326</v>
      </c>
      <c r="P13" s="25">
        <f t="shared" si="45"/>
        <v>-81542.056074766326</v>
      </c>
      <c r="Q13" s="25">
        <f t="shared" si="46"/>
        <v>27875</v>
      </c>
      <c r="R13" s="25">
        <f t="shared" si="47"/>
        <v>613250</v>
      </c>
      <c r="S13" s="26">
        <f t="shared" si="48"/>
        <v>0.87607142857142861</v>
      </c>
      <c r="T13" s="27">
        <f t="shared" si="49"/>
        <v>-89696.26168224297</v>
      </c>
      <c r="U13" s="28">
        <f t="shared" si="50"/>
        <v>-89696.26168224297</v>
      </c>
      <c r="V13" s="28">
        <f t="shared" si="51"/>
        <v>-97850.467289719585</v>
      </c>
      <c r="W13" s="28">
        <f t="shared" si="52"/>
        <v>-97850.467289719585</v>
      </c>
      <c r="X13" s="29">
        <f t="shared" si="53"/>
        <v>5.3053618794475232E-2</v>
      </c>
      <c r="Y13" s="29" t="e">
        <f t="shared" si="54"/>
        <v>#DIV/0!</v>
      </c>
      <c r="Z13" s="30">
        <f>_xlfn.XLOOKUP(A13,ยอดขายปีที่แล้ว!B:B,ยอดขายปีที่แล้ว!D:D,0,0)</f>
        <v>2137785.5</v>
      </c>
      <c r="AA13" s="31">
        <f t="shared" si="55"/>
        <v>1997930.3738317757</v>
      </c>
      <c r="AB13" s="84">
        <f t="shared" si="56"/>
        <v>781542.05607476633</v>
      </c>
      <c r="AC13" s="37">
        <f t="shared" ref="AC13" si="77">AB13-AA13</f>
        <v>-1216388.3177570095</v>
      </c>
      <c r="AD13" s="108">
        <f t="shared" ref="AD13" si="78">(AB13-AA13)/AA13</f>
        <v>-0.60882417810393052</v>
      </c>
      <c r="AE13" s="30">
        <f>_xlfn.XLOOKUP(A13,ยอดขายเดือนที่เแล้ว!B:B,ยอดขายเดือนที่เแล้ว!D:D,0,0)</f>
        <v>945210</v>
      </c>
      <c r="AF13" s="27">
        <f t="shared" si="59"/>
        <v>883373.83177570091</v>
      </c>
      <c r="AG13" s="87">
        <f t="shared" si="60"/>
        <v>781542.05607476633</v>
      </c>
      <c r="AH13" s="129">
        <f t="shared" si="28"/>
        <v>-101831.77570093458</v>
      </c>
      <c r="AI13" s="158">
        <f t="shared" si="29"/>
        <v>-0.11527597041927191</v>
      </c>
      <c r="AJ13" s="32">
        <v>439324</v>
      </c>
      <c r="AK13" s="31">
        <v>195820</v>
      </c>
      <c r="AL13" s="31">
        <v>148398</v>
      </c>
      <c r="AM13" s="33">
        <v>145714</v>
      </c>
      <c r="AN13" s="32"/>
      <c r="AO13" s="162">
        <f t="shared" si="30"/>
        <v>-2684</v>
      </c>
      <c r="AP13" s="144">
        <f t="shared" si="31"/>
        <v>-1.808649712260273E-2</v>
      </c>
      <c r="AQ13" s="34" t="s">
        <v>312</v>
      </c>
      <c r="AR13" s="35"/>
      <c r="AS13" s="10" t="str">
        <f t="shared" si="68"/>
        <v>Yuedpao สาขา Central พัทยา</v>
      </c>
      <c r="AT13" s="11">
        <f t="shared" si="69"/>
        <v>700000</v>
      </c>
      <c r="AU13" s="11">
        <f t="shared" si="70"/>
        <v>781542.05607476633</v>
      </c>
      <c r="AV13" s="12">
        <f t="shared" si="71"/>
        <v>26051.401869158879</v>
      </c>
      <c r="AW13" s="13">
        <f t="shared" si="72"/>
        <v>807593.45794392517</v>
      </c>
      <c r="AX13" s="153">
        <f t="shared" si="61"/>
        <v>1.1537049399198931</v>
      </c>
      <c r="AY13" s="130">
        <f t="shared" si="25"/>
        <v>39077.102803738322</v>
      </c>
      <c r="AZ13" s="131">
        <f t="shared" si="73"/>
        <v>820619.15887850465</v>
      </c>
      <c r="BA13" s="100">
        <f t="shared" si="27"/>
        <v>1.1723130841121494</v>
      </c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</row>
    <row r="14" spans="1:73" s="36" customFormat="1" ht="60" customHeight="1" x14ac:dyDescent="0.15">
      <c r="A14" s="18" t="s">
        <v>82</v>
      </c>
      <c r="B14" s="19">
        <f>(C14*7)/100+C14</f>
        <v>1819000</v>
      </c>
      <c r="C14" s="20">
        <f>_xlfn.XLOOKUP(A14,'Target ปี 2025'!B:B,'Target ปี 2025'!C:C,0,0)</f>
        <v>1700000</v>
      </c>
      <c r="D14" s="20">
        <f t="shared" si="38"/>
        <v>56666.666666666664</v>
      </c>
      <c r="E14" s="84">
        <f>_xlfn.XLOOKUP(A14,ยอดขายปัจจุบัน!B:B,ยอดขายปัจจุบัน!D:D,0,0)</f>
        <v>1658515.5</v>
      </c>
      <c r="F14" s="84">
        <f t="shared" si="39"/>
        <v>1550014.4859813084</v>
      </c>
      <c r="G14" s="84">
        <f>_xlfn.XLOOKUP(A14,ยอดขายปัจจุบัน!B:B,ยอดขายปัจจุบัน!C:C,0,0)</f>
        <v>3590</v>
      </c>
      <c r="H14" s="85">
        <f t="shared" si="40"/>
        <v>461.98203342618382</v>
      </c>
      <c r="I14" s="21">
        <v>450</v>
      </c>
      <c r="J14" s="22">
        <f t="shared" si="41"/>
        <v>2.5936145908796095E-2</v>
      </c>
      <c r="K14" s="23">
        <f t="shared" si="42"/>
        <v>-41484.5</v>
      </c>
      <c r="L14" s="106">
        <f t="shared" si="5"/>
        <v>0.91177322704782848</v>
      </c>
      <c r="M14" s="104"/>
      <c r="N14" s="25">
        <f t="shared" si="43"/>
        <v>149985.51401869161</v>
      </c>
      <c r="O14" s="24">
        <f t="shared" si="44"/>
        <v>149985.51401869161</v>
      </c>
      <c r="P14" s="25">
        <f t="shared" si="45"/>
        <v>149985.51401869161</v>
      </c>
      <c r="Q14" s="25">
        <f t="shared" si="46"/>
        <v>55283.85</v>
      </c>
      <c r="R14" s="25">
        <f t="shared" si="47"/>
        <v>1216244.7</v>
      </c>
      <c r="S14" s="26">
        <f t="shared" si="48"/>
        <v>0.7154380588235294</v>
      </c>
      <c r="T14" s="27">
        <f t="shared" si="49"/>
        <v>164984.06542056077</v>
      </c>
      <c r="U14" s="28">
        <f t="shared" si="50"/>
        <v>164984.06542056077</v>
      </c>
      <c r="V14" s="28">
        <f t="shared" si="51"/>
        <v>179982.61682242993</v>
      </c>
      <c r="W14" s="28">
        <f t="shared" si="52"/>
        <v>179982.61682242993</v>
      </c>
      <c r="X14" s="29">
        <f t="shared" si="53"/>
        <v>0.10522002882119998</v>
      </c>
      <c r="Y14" s="29" t="e">
        <f t="shared" si="54"/>
        <v>#DIV/0!</v>
      </c>
      <c r="Z14" s="30">
        <f>_xlfn.XLOOKUP(A14,ยอดขายปีที่แล้ว!B:B,ยอดขายปีที่แล้ว!D:D,0,0)</f>
        <v>991008.02</v>
      </c>
      <c r="AA14" s="31">
        <f t="shared" si="55"/>
        <v>926175.71962616825</v>
      </c>
      <c r="AB14" s="84">
        <f t="shared" si="56"/>
        <v>1550014.4859813084</v>
      </c>
      <c r="AC14" s="37">
        <f t="shared" si="57"/>
        <v>623838.76635514013</v>
      </c>
      <c r="AD14" s="108">
        <f t="shared" si="58"/>
        <v>0.67356415541420134</v>
      </c>
      <c r="AE14" s="30">
        <f>_xlfn.XLOOKUP(A14,ยอดขายเดือนที่เแล้ว!B:B,ยอดขายเดือนที่เแล้ว!D:D,0,0)</f>
        <v>2386873.4</v>
      </c>
      <c r="AF14" s="27">
        <f t="shared" si="59"/>
        <v>2230722.8037383179</v>
      </c>
      <c r="AG14" s="87">
        <f t="shared" si="60"/>
        <v>1550014.4859813084</v>
      </c>
      <c r="AH14" s="129">
        <f t="shared" si="28"/>
        <v>-680708.31775700953</v>
      </c>
      <c r="AI14" s="158">
        <f t="shared" si="29"/>
        <v>-0.30515145880799549</v>
      </c>
      <c r="AJ14" s="32">
        <v>589947.80000000005</v>
      </c>
      <c r="AK14" s="31">
        <v>331944</v>
      </c>
      <c r="AL14" s="31">
        <v>340478</v>
      </c>
      <c r="AM14" s="33">
        <v>329846.5</v>
      </c>
      <c r="AN14" s="32"/>
      <c r="AO14" s="162">
        <f t="shared" si="30"/>
        <v>-10631.5</v>
      </c>
      <c r="AP14" s="144">
        <f t="shared" si="31"/>
        <v>-3.1225218663173539E-2</v>
      </c>
      <c r="AQ14" s="34" t="s">
        <v>311</v>
      </c>
      <c r="AR14" s="35"/>
      <c r="AS14" s="10" t="str">
        <f t="shared" si="68"/>
        <v>Yuedpao สาขา Central ปิ่นเกล้า</v>
      </c>
      <c r="AT14" s="11">
        <f t="shared" si="69"/>
        <v>1700000</v>
      </c>
      <c r="AU14" s="11">
        <f t="shared" si="70"/>
        <v>1550014.4859813084</v>
      </c>
      <c r="AV14" s="12">
        <f t="shared" si="71"/>
        <v>51667.149532710282</v>
      </c>
      <c r="AW14" s="13">
        <f t="shared" si="72"/>
        <v>1601681.6355140186</v>
      </c>
      <c r="AX14" s="137">
        <f t="shared" si="61"/>
        <v>0.94216566794942269</v>
      </c>
      <c r="AY14" s="130">
        <f t="shared" si="25"/>
        <v>77500.724299065419</v>
      </c>
      <c r="AZ14" s="131">
        <f t="shared" si="73"/>
        <v>1627515.2102803737</v>
      </c>
      <c r="BA14" s="100">
        <f t="shared" si="27"/>
        <v>0.95736188840021985</v>
      </c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</row>
    <row r="15" spans="1:73" s="36" customFormat="1" ht="60" customHeight="1" x14ac:dyDescent="0.15">
      <c r="A15" s="18" t="s">
        <v>203</v>
      </c>
      <c r="B15" s="19">
        <f>(C15*7)/100+C15</f>
        <v>428000</v>
      </c>
      <c r="C15" s="20">
        <f>_xlfn.XLOOKUP(A15,'Target ปี 2025'!B:B,'Target ปี 2025'!C:C,0,0)</f>
        <v>400000</v>
      </c>
      <c r="D15" s="20">
        <f t="shared" si="38"/>
        <v>13333.333333333334</v>
      </c>
      <c r="E15" s="84">
        <f>_xlfn.XLOOKUP(A15,ยอดขายปัจจุบัน!B:B,ยอดขายปัจจุบัน!D:D,0,0)</f>
        <v>335396</v>
      </c>
      <c r="F15" s="84">
        <f t="shared" si="39"/>
        <v>313454.20560747664</v>
      </c>
      <c r="G15" s="84">
        <f>_xlfn.XLOOKUP(A15,ยอดขายปัจจุบัน!B:B,ยอดขายปัจจุบัน!C:C,0,0)</f>
        <v>725</v>
      </c>
      <c r="H15" s="85">
        <f t="shared" si="40"/>
        <v>462.61517241379312</v>
      </c>
      <c r="I15" s="21">
        <v>430</v>
      </c>
      <c r="J15" s="22">
        <f t="shared" si="41"/>
        <v>7.0501735262197551E-2</v>
      </c>
      <c r="K15" s="23">
        <f t="shared" si="42"/>
        <v>-64604</v>
      </c>
      <c r="L15" s="106">
        <f t="shared" si="5"/>
        <v>0.78363551401869158</v>
      </c>
      <c r="M15" s="88"/>
      <c r="N15" s="25">
        <f t="shared" si="43"/>
        <v>86545.794392523356</v>
      </c>
      <c r="O15" s="24">
        <f t="shared" si="44"/>
        <v>86545.794392523356</v>
      </c>
      <c r="P15" s="25">
        <f t="shared" si="45"/>
        <v>86545.794392523356</v>
      </c>
      <c r="Q15" s="25">
        <f t="shared" si="46"/>
        <v>11179.866666666667</v>
      </c>
      <c r="R15" s="25">
        <f t="shared" si="47"/>
        <v>245957.06666666668</v>
      </c>
      <c r="S15" s="26">
        <f t="shared" si="48"/>
        <v>0.61489266666666675</v>
      </c>
      <c r="T15" s="27">
        <f t="shared" si="49"/>
        <v>95200.373831775694</v>
      </c>
      <c r="U15" s="28">
        <f t="shared" si="50"/>
        <v>95200.373831775694</v>
      </c>
      <c r="V15" s="28">
        <f t="shared" si="51"/>
        <v>103854.95327102802</v>
      </c>
      <c r="W15" s="28">
        <f t="shared" si="52"/>
        <v>103854.95327102802</v>
      </c>
      <c r="X15" s="29">
        <f t="shared" si="53"/>
        <v>2.1278291813682289E-2</v>
      </c>
      <c r="Y15" s="29" t="e">
        <f t="shared" si="54"/>
        <v>#DIV/0!</v>
      </c>
      <c r="Z15" s="30">
        <f>_xlfn.XLOOKUP(A15,ยอดขายปีที่แล้ว!B:B,ยอดขายปีที่แล้ว!D:D,0,0)</f>
        <v>0</v>
      </c>
      <c r="AA15" s="31">
        <f t="shared" si="55"/>
        <v>0</v>
      </c>
      <c r="AB15" s="84">
        <f t="shared" si="56"/>
        <v>313454.20560747664</v>
      </c>
      <c r="AC15" s="37">
        <f t="shared" si="57"/>
        <v>313454.20560747664</v>
      </c>
      <c r="AD15" s="108" t="e">
        <f t="shared" si="58"/>
        <v>#DIV/0!</v>
      </c>
      <c r="AE15" s="30">
        <f>_xlfn.XLOOKUP(A15,ยอดขายเดือนที่เแล้ว!B:B,ยอดขายเดือนที่เแล้ว!D:D,0,0)</f>
        <v>331919</v>
      </c>
      <c r="AF15" s="27">
        <f t="shared" si="59"/>
        <v>310204.67289719626</v>
      </c>
      <c r="AG15" s="87">
        <f t="shared" si="60"/>
        <v>313454.20560747664</v>
      </c>
      <c r="AH15" s="142">
        <f t="shared" si="28"/>
        <v>3249.5327102803858</v>
      </c>
      <c r="AI15" s="113">
        <f t="shared" si="29"/>
        <v>1.0475447322991492E-2</v>
      </c>
      <c r="AJ15" s="32">
        <v>747249</v>
      </c>
      <c r="AK15" s="31">
        <v>74933</v>
      </c>
      <c r="AL15" s="31">
        <v>64776</v>
      </c>
      <c r="AM15" s="33">
        <v>60525</v>
      </c>
      <c r="AN15" s="32"/>
      <c r="AO15" s="162">
        <f t="shared" si="30"/>
        <v>-4251</v>
      </c>
      <c r="AP15" s="144">
        <f t="shared" si="31"/>
        <v>-6.5626157836235641E-2</v>
      </c>
      <c r="AQ15" s="146" t="s">
        <v>309</v>
      </c>
      <c r="AR15" s="35"/>
      <c r="AS15" s="10" t="str">
        <f t="shared" si="68"/>
        <v>Yuedpao สาขา I am China Town</v>
      </c>
      <c r="AT15" s="11">
        <f t="shared" si="69"/>
        <v>400000</v>
      </c>
      <c r="AU15" s="11">
        <f t="shared" si="70"/>
        <v>313454.20560747664</v>
      </c>
      <c r="AV15" s="12">
        <f t="shared" si="71"/>
        <v>10448.473520249221</v>
      </c>
      <c r="AW15" s="13">
        <f t="shared" si="72"/>
        <v>323902.67912772589</v>
      </c>
      <c r="AX15" s="137">
        <f t="shared" si="61"/>
        <v>0.8097566978193147</v>
      </c>
      <c r="AY15" s="130">
        <f t="shared" si="25"/>
        <v>15672.710280373831</v>
      </c>
      <c r="AZ15" s="131">
        <f t="shared" si="73"/>
        <v>329126.91588785045</v>
      </c>
      <c r="BA15" s="100">
        <f t="shared" si="27"/>
        <v>0.82281728971962609</v>
      </c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</row>
    <row r="16" spans="1:73" s="36" customFormat="1" ht="60" customHeight="1" x14ac:dyDescent="0.15">
      <c r="A16" s="18" t="s">
        <v>218</v>
      </c>
      <c r="B16" s="19">
        <f t="shared" ref="B16:B19" si="79">(C16*7)/100+C16</f>
        <v>1016500</v>
      </c>
      <c r="C16" s="20">
        <f>_xlfn.XLOOKUP(A16,'Target ปี 2025'!B:B,'Target ปี 2025'!C:C,0,0)</f>
        <v>950000</v>
      </c>
      <c r="D16" s="20">
        <f t="shared" si="38"/>
        <v>31666.666666666668</v>
      </c>
      <c r="E16" s="84">
        <f>_xlfn.XLOOKUP(A16,ยอดขายปัจจุบัน!B:B,ยอดขายปัจจุบัน!D:D,0,0)</f>
        <v>907039</v>
      </c>
      <c r="F16" s="84">
        <f t="shared" si="39"/>
        <v>847700</v>
      </c>
      <c r="G16" s="84">
        <f>_xlfn.XLOOKUP(A16,ยอดขายปัจจุบัน!B:B,ยอดขายปัจจุบัน!C:C,0,0)</f>
        <v>2002</v>
      </c>
      <c r="H16" s="85">
        <f t="shared" si="40"/>
        <v>453.06643356643355</v>
      </c>
      <c r="I16" s="21">
        <v>430</v>
      </c>
      <c r="J16" s="22">
        <f>(H16-I16)/H16</f>
        <v>5.0911813053242432E-2</v>
      </c>
      <c r="K16" s="23">
        <f t="shared" si="42"/>
        <v>-42961</v>
      </c>
      <c r="L16" s="106">
        <f t="shared" si="5"/>
        <v>0.89231578947368417</v>
      </c>
      <c r="M16" s="88"/>
      <c r="N16" s="25">
        <f t="shared" si="43"/>
        <v>102300</v>
      </c>
      <c r="O16" s="24">
        <f t="shared" si="44"/>
        <v>102300</v>
      </c>
      <c r="P16" s="25">
        <f t="shared" si="45"/>
        <v>102300</v>
      </c>
      <c r="Q16" s="25">
        <f t="shared" si="46"/>
        <v>30234.633333333335</v>
      </c>
      <c r="R16" s="25">
        <f t="shared" si="47"/>
        <v>665161.93333333335</v>
      </c>
      <c r="S16" s="26">
        <f t="shared" si="48"/>
        <v>0.70017045614035089</v>
      </c>
      <c r="T16" s="27">
        <f t="shared" si="49"/>
        <v>112530.00000000001</v>
      </c>
      <c r="U16" s="28">
        <f t="shared" si="50"/>
        <v>112530.00000000001</v>
      </c>
      <c r="V16" s="28">
        <f t="shared" si="51"/>
        <v>122760</v>
      </c>
      <c r="W16" s="28">
        <f t="shared" si="52"/>
        <v>122760</v>
      </c>
      <c r="X16" s="29">
        <f t="shared" si="53"/>
        <v>5.7544635381431411E-2</v>
      </c>
      <c r="Y16" s="29" t="e">
        <f t="shared" si="54"/>
        <v>#DIV/0!</v>
      </c>
      <c r="Z16" s="30">
        <f>_xlfn.XLOOKUP(A16,ยอดขายปีที่แล้ว!B:B,ยอดขายปีที่แล้ว!D:D,0,0)</f>
        <v>0</v>
      </c>
      <c r="AA16" s="31">
        <f t="shared" si="55"/>
        <v>0</v>
      </c>
      <c r="AB16" s="84">
        <f t="shared" si="56"/>
        <v>847700</v>
      </c>
      <c r="AC16" s="37">
        <f t="shared" si="57"/>
        <v>847700</v>
      </c>
      <c r="AD16" s="108" t="e">
        <f t="shared" si="58"/>
        <v>#DIV/0!</v>
      </c>
      <c r="AE16" s="30">
        <f>_xlfn.XLOOKUP(A16,ยอดขายเดือนที่เแล้ว!B:B,ยอดขายเดือนที่เแล้ว!D:D,0,0)</f>
        <v>1409862</v>
      </c>
      <c r="AF16" s="27">
        <f t="shared" si="59"/>
        <v>1317628.0373831776</v>
      </c>
      <c r="AG16" s="87">
        <f t="shared" si="60"/>
        <v>847700</v>
      </c>
      <c r="AH16" s="129">
        <f t="shared" si="28"/>
        <v>-469928.03738317755</v>
      </c>
      <c r="AI16" s="158">
        <f t="shared" si="29"/>
        <v>-0.35664696261052498</v>
      </c>
      <c r="AJ16" s="32">
        <v>307762</v>
      </c>
      <c r="AK16" s="31">
        <v>187964</v>
      </c>
      <c r="AL16" s="31">
        <v>202371</v>
      </c>
      <c r="AM16" s="33">
        <v>170906</v>
      </c>
      <c r="AN16" s="32"/>
      <c r="AO16" s="162">
        <f t="shared" si="30"/>
        <v>-31465</v>
      </c>
      <c r="AP16" s="144">
        <f t="shared" si="31"/>
        <v>-0.15548176369143801</v>
      </c>
      <c r="AQ16" s="146" t="s">
        <v>306</v>
      </c>
      <c r="AR16" s="35"/>
      <c r="AS16" s="10" t="str">
        <f t="shared" si="68"/>
        <v>Yuedpao สาขา Robinson ชลบุรี</v>
      </c>
      <c r="AT16" s="11">
        <f t="shared" si="69"/>
        <v>950000</v>
      </c>
      <c r="AU16" s="11">
        <f t="shared" si="70"/>
        <v>847700</v>
      </c>
      <c r="AV16" s="12">
        <f t="shared" si="71"/>
        <v>28256.666666666668</v>
      </c>
      <c r="AW16" s="13">
        <f t="shared" si="72"/>
        <v>875956.66666666663</v>
      </c>
      <c r="AX16" s="137">
        <f t="shared" si="61"/>
        <v>0.92205964912280702</v>
      </c>
      <c r="AY16" s="130">
        <f t="shared" si="25"/>
        <v>42385</v>
      </c>
      <c r="AZ16" s="131">
        <f t="shared" si="73"/>
        <v>890085</v>
      </c>
      <c r="BA16" s="100">
        <f t="shared" si="27"/>
        <v>0.93693157894736845</v>
      </c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</row>
    <row r="17" spans="1:73" s="36" customFormat="1" ht="60" customHeight="1" x14ac:dyDescent="0.15">
      <c r="A17" s="143" t="s">
        <v>253</v>
      </c>
      <c r="B17" s="19">
        <f t="shared" si="79"/>
        <v>588500</v>
      </c>
      <c r="C17" s="20">
        <f>_xlfn.XLOOKUP(A17,'Target ปี 2025'!B:B,'Target ปี 2025'!C:C,0,0)</f>
        <v>550000</v>
      </c>
      <c r="D17" s="20">
        <f t="shared" ref="D17:D19" si="80">C17/30</f>
        <v>18333.333333333332</v>
      </c>
      <c r="E17" s="84">
        <f>_xlfn.XLOOKUP(A17,ยอดขายปัจจุบัน!B:B,ยอดขายปัจจุบัน!D:D,0,0)</f>
        <v>469734.5</v>
      </c>
      <c r="F17" s="84">
        <f t="shared" ref="F17:F19" si="81">E17*100/107</f>
        <v>439004.20560747664</v>
      </c>
      <c r="G17" s="84">
        <f>_xlfn.XLOOKUP(A17,ยอดขายปัจจุบัน!B:B,ยอดขายปัจจุบัน!C:C,0,0)</f>
        <v>954</v>
      </c>
      <c r="H17" s="85">
        <f t="shared" ref="H17:H19" si="82">E17/G17</f>
        <v>492.38417190775681</v>
      </c>
      <c r="I17" s="21">
        <v>431</v>
      </c>
      <c r="J17" s="22">
        <f t="shared" ref="J17:J19" si="83">(H17-I17)/H17</f>
        <v>0.1246672322343792</v>
      </c>
      <c r="K17" s="23">
        <f t="shared" ref="K17:K19" si="84">(E17-C17)/$E$36</f>
        <v>-80265.5</v>
      </c>
      <c r="L17" s="106">
        <f t="shared" si="5"/>
        <v>0.79818946474086661</v>
      </c>
      <c r="M17" s="88"/>
      <c r="N17" s="25">
        <f t="shared" ref="N17:N19" si="85">C17-F17</f>
        <v>110995.79439252336</v>
      </c>
      <c r="O17" s="24">
        <f t="shared" ref="O17:O19" si="86">N17/$E$36</f>
        <v>110995.79439252336</v>
      </c>
      <c r="P17" s="25">
        <f t="shared" ref="P17:P19" si="87">SUM(N17/$E$36)</f>
        <v>110995.79439252336</v>
      </c>
      <c r="Q17" s="25">
        <f t="shared" ref="Q17:Q19" si="88">E17/$D$36</f>
        <v>15657.816666666668</v>
      </c>
      <c r="R17" s="25">
        <f t="shared" ref="R17:R19" si="89">Q17*22</f>
        <v>344471.96666666667</v>
      </c>
      <c r="S17" s="26">
        <f t="shared" ref="S17:S19" si="90">R17/C17</f>
        <v>0.62631266666666663</v>
      </c>
      <c r="T17" s="27">
        <f t="shared" ref="T17:T19" si="91">(C17-F17)*110%</f>
        <v>122095.37383177569</v>
      </c>
      <c r="U17" s="28">
        <f t="shared" ref="U17:U19" si="92">T17/$E$36</f>
        <v>122095.37383177569</v>
      </c>
      <c r="V17" s="28">
        <f t="shared" ref="V17:V19" si="93">(C17-F17)*120%</f>
        <v>133194.95327102803</v>
      </c>
      <c r="W17" s="28">
        <f t="shared" ref="W17:W19" si="94">SUM(V17/$E$36)</f>
        <v>133194.95327102803</v>
      </c>
      <c r="X17" s="29">
        <f t="shared" ref="X17:X19" si="95">E17/$E$21</f>
        <v>2.9801034496398714E-2</v>
      </c>
      <c r="Y17" s="29" t="e">
        <f t="shared" ref="Y17:Y19" si="96">E17/$H$36</f>
        <v>#DIV/0!</v>
      </c>
      <c r="Z17" s="30">
        <f>_xlfn.XLOOKUP(A17,ยอดขายปีที่แล้ว!B:B,ยอดขายปีที่แล้ว!D:D,0,0)</f>
        <v>0</v>
      </c>
      <c r="AA17" s="31">
        <f t="shared" ref="AA17:AA19" si="97">Z17*100/107</f>
        <v>0</v>
      </c>
      <c r="AB17" s="84">
        <f t="shared" ref="AB17:AB19" si="98">F17</f>
        <v>439004.20560747664</v>
      </c>
      <c r="AC17" s="37">
        <f t="shared" ref="AC17:AC19" si="99">AB17-AA17</f>
        <v>439004.20560747664</v>
      </c>
      <c r="AD17" s="108" t="e">
        <f t="shared" ref="AD17:AD19" si="100">(AB17-AA17)/AA17</f>
        <v>#DIV/0!</v>
      </c>
      <c r="AE17" s="30">
        <f>_xlfn.XLOOKUP(A17,ยอดขายเดือนที่เแล้ว!B:B,ยอดขายเดือนที่เแล้ว!D:D,0,0)</f>
        <v>640349</v>
      </c>
      <c r="AF17" s="27">
        <f t="shared" ref="AF17:AF19" si="101">AE17*100/107</f>
        <v>598457.00934579445</v>
      </c>
      <c r="AG17" s="87">
        <f t="shared" ref="AG17:AG19" si="102">F17</f>
        <v>439004.20560747664</v>
      </c>
      <c r="AH17" s="129">
        <f t="shared" si="28"/>
        <v>-159452.8037383178</v>
      </c>
      <c r="AI17" s="158">
        <f t="shared" si="29"/>
        <v>-0.26643986326206498</v>
      </c>
      <c r="AJ17" s="32">
        <v>307762</v>
      </c>
      <c r="AK17" s="31">
        <v>99750</v>
      </c>
      <c r="AL17" s="31">
        <v>102699.5</v>
      </c>
      <c r="AM17" s="33">
        <v>84775</v>
      </c>
      <c r="AN17" s="32"/>
      <c r="AO17" s="162">
        <f t="shared" si="30"/>
        <v>-17924.5</v>
      </c>
      <c r="AP17" s="144">
        <f t="shared" si="31"/>
        <v>-0.17453346900423078</v>
      </c>
      <c r="AQ17" s="146" t="s">
        <v>310</v>
      </c>
      <c r="AR17" s="35"/>
      <c r="AS17" s="10" t="str">
        <f t="shared" si="68"/>
        <v>Yuedpao สาขา Big C อำนาจเจริญ</v>
      </c>
      <c r="AT17" s="11">
        <f t="shared" si="69"/>
        <v>550000</v>
      </c>
      <c r="AU17" s="11">
        <f t="shared" si="70"/>
        <v>439004.20560747664</v>
      </c>
      <c r="AV17" s="12">
        <f t="shared" si="71"/>
        <v>14633.473520249221</v>
      </c>
      <c r="AW17" s="13">
        <f t="shared" si="72"/>
        <v>453637.67912772589</v>
      </c>
      <c r="AX17" s="137">
        <f t="shared" si="61"/>
        <v>0.82479578023222888</v>
      </c>
      <c r="AY17" s="130">
        <f t="shared" si="25"/>
        <v>21950.210280373831</v>
      </c>
      <c r="AZ17" s="131">
        <f t="shared" si="73"/>
        <v>460954.41588785045</v>
      </c>
      <c r="BA17" s="100">
        <f t="shared" si="27"/>
        <v>0.83809893797790991</v>
      </c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</row>
    <row r="18" spans="1:73" s="36" customFormat="1" ht="60" customHeight="1" x14ac:dyDescent="0.15">
      <c r="A18" s="143" t="s">
        <v>251</v>
      </c>
      <c r="B18" s="19">
        <f t="shared" si="79"/>
        <v>1016500</v>
      </c>
      <c r="C18" s="20">
        <f>_xlfn.XLOOKUP(A18,'Target ปี 2025'!B:B,'Target ปี 2025'!C:C,0,0)</f>
        <v>950000</v>
      </c>
      <c r="D18" s="20">
        <f t="shared" si="80"/>
        <v>31666.666666666668</v>
      </c>
      <c r="E18" s="84">
        <f>_xlfn.XLOOKUP(A18,ยอดขายปัจจุบัน!B:B,ยอดขายปัจจุบัน!D:D,0,0)</f>
        <v>734037.5</v>
      </c>
      <c r="F18" s="84">
        <f t="shared" si="81"/>
        <v>686016.35514018696</v>
      </c>
      <c r="G18" s="84">
        <f>_xlfn.XLOOKUP(A18,ยอดขายปัจจุบัน!B:B,ยอดขายปัจจุบัน!C:C,0,0)</f>
        <v>1396</v>
      </c>
      <c r="H18" s="85">
        <f t="shared" si="82"/>
        <v>525.81482808022918</v>
      </c>
      <c r="I18" s="21">
        <v>432</v>
      </c>
      <c r="J18" s="22">
        <f t="shared" si="83"/>
        <v>0.17841799635577194</v>
      </c>
      <c r="K18" s="23">
        <f t="shared" si="84"/>
        <v>-215962.5</v>
      </c>
      <c r="L18" s="106">
        <f t="shared" si="5"/>
        <v>0.72212247909493366</v>
      </c>
      <c r="M18" s="88"/>
      <c r="N18" s="25">
        <f t="shared" si="85"/>
        <v>263983.64485981304</v>
      </c>
      <c r="O18" s="24">
        <f t="shared" si="86"/>
        <v>263983.64485981304</v>
      </c>
      <c r="P18" s="25">
        <f t="shared" si="87"/>
        <v>263983.64485981304</v>
      </c>
      <c r="Q18" s="25">
        <f t="shared" si="88"/>
        <v>24467.916666666668</v>
      </c>
      <c r="R18" s="25">
        <f t="shared" si="89"/>
        <v>538294.16666666674</v>
      </c>
      <c r="S18" s="26">
        <f t="shared" si="90"/>
        <v>0.56662543859649128</v>
      </c>
      <c r="T18" s="27">
        <f t="shared" si="91"/>
        <v>290382.00934579439</v>
      </c>
      <c r="U18" s="28">
        <f t="shared" si="92"/>
        <v>290382.00934579439</v>
      </c>
      <c r="V18" s="28">
        <f t="shared" si="93"/>
        <v>316780.37383177562</v>
      </c>
      <c r="W18" s="28">
        <f t="shared" si="94"/>
        <v>316780.37383177562</v>
      </c>
      <c r="X18" s="29">
        <f t="shared" si="95"/>
        <v>4.6569023265589968E-2</v>
      </c>
      <c r="Y18" s="29" t="e">
        <f t="shared" si="96"/>
        <v>#DIV/0!</v>
      </c>
      <c r="Z18" s="30">
        <f>_xlfn.XLOOKUP(A18,ยอดขายปีที่แล้ว!B:B,ยอดขายปีที่แล้ว!D:D,0,0)</f>
        <v>0</v>
      </c>
      <c r="AA18" s="31">
        <f t="shared" si="97"/>
        <v>0</v>
      </c>
      <c r="AB18" s="84">
        <f t="shared" si="98"/>
        <v>686016.35514018696</v>
      </c>
      <c r="AC18" s="37">
        <f t="shared" si="99"/>
        <v>686016.35514018696</v>
      </c>
      <c r="AD18" s="108" t="e">
        <f t="shared" si="100"/>
        <v>#DIV/0!</v>
      </c>
      <c r="AE18" s="30">
        <f>_xlfn.XLOOKUP(A18,ยอดขายเดือนที่เแล้ว!B:B,ยอดขายเดือนที่เแล้ว!D:D,0,0)</f>
        <v>1098700</v>
      </c>
      <c r="AF18" s="27">
        <f t="shared" si="101"/>
        <v>1026822.4299065421</v>
      </c>
      <c r="AG18" s="87">
        <f t="shared" si="102"/>
        <v>686016.35514018696</v>
      </c>
      <c r="AH18" s="129">
        <f t="shared" si="28"/>
        <v>-340806.0747663551</v>
      </c>
      <c r="AI18" s="158">
        <f t="shared" si="29"/>
        <v>-0.33190361336124508</v>
      </c>
      <c r="AJ18" s="32">
        <v>307762</v>
      </c>
      <c r="AK18" s="31">
        <v>206538</v>
      </c>
      <c r="AL18" s="31">
        <v>147083</v>
      </c>
      <c r="AM18" s="33">
        <v>131920</v>
      </c>
      <c r="AN18" s="32"/>
      <c r="AO18" s="162">
        <f t="shared" si="30"/>
        <v>-15163</v>
      </c>
      <c r="AP18" s="144">
        <f t="shared" si="31"/>
        <v>-0.10309145176532979</v>
      </c>
      <c r="AQ18" s="146" t="s">
        <v>252</v>
      </c>
      <c r="AR18" s="35"/>
      <c r="AS18" s="10" t="str">
        <f t="shared" si="68"/>
        <v>Yuedpao สาขา Robinson แม่สอด</v>
      </c>
      <c r="AT18" s="11">
        <f t="shared" si="69"/>
        <v>950000</v>
      </c>
      <c r="AU18" s="11">
        <f t="shared" si="70"/>
        <v>686016.35514018696</v>
      </c>
      <c r="AV18" s="12">
        <f t="shared" si="71"/>
        <v>22867.211838006231</v>
      </c>
      <c r="AW18" s="13">
        <f t="shared" si="72"/>
        <v>708883.56697819324</v>
      </c>
      <c r="AX18" s="137">
        <f t="shared" si="61"/>
        <v>0.7461932283980981</v>
      </c>
      <c r="AY18" s="130">
        <f t="shared" si="25"/>
        <v>34300.817757009347</v>
      </c>
      <c r="AZ18" s="131">
        <f t="shared" si="73"/>
        <v>720317.17289719626</v>
      </c>
      <c r="BA18" s="100">
        <f t="shared" si="27"/>
        <v>0.75822860304968032</v>
      </c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</row>
    <row r="19" spans="1:73" s="36" customFormat="1" ht="60" customHeight="1" x14ac:dyDescent="0.15">
      <c r="A19" s="143" t="s">
        <v>267</v>
      </c>
      <c r="B19" s="19">
        <f t="shared" si="79"/>
        <v>856000</v>
      </c>
      <c r="C19" s="20">
        <f>_xlfn.XLOOKUP(A19,'Target ปี 2025'!B:B,'Target ปี 2025'!C:C,0,0)</f>
        <v>800000</v>
      </c>
      <c r="D19" s="20">
        <f t="shared" si="80"/>
        <v>26666.666666666668</v>
      </c>
      <c r="E19" s="84">
        <f>_xlfn.XLOOKUP(A19,ยอดขายปัจจุบัน!B:B,ยอดขายปัจจุบัน!D:D,0,0)</f>
        <v>658331</v>
      </c>
      <c r="F19" s="84">
        <f t="shared" si="81"/>
        <v>615262.61682242993</v>
      </c>
      <c r="G19" s="84">
        <f>_xlfn.XLOOKUP(A19,ยอดขายปัจจุบัน!B:B,ยอดขายปัจจุบัน!C:C,0,0)</f>
        <v>1435</v>
      </c>
      <c r="H19" s="85">
        <f t="shared" si="82"/>
        <v>458.76724738675961</v>
      </c>
      <c r="I19" s="21">
        <v>433</v>
      </c>
      <c r="J19" s="22">
        <f t="shared" si="83"/>
        <v>5.6166275019708979E-2</v>
      </c>
      <c r="K19" s="23">
        <f t="shared" si="84"/>
        <v>-141669</v>
      </c>
      <c r="L19" s="106">
        <f t="shared" si="5"/>
        <v>0.76907827102803739</v>
      </c>
      <c r="M19" s="88"/>
      <c r="N19" s="25">
        <f t="shared" si="85"/>
        <v>184737.38317757007</v>
      </c>
      <c r="O19" s="24">
        <f t="shared" si="86"/>
        <v>184737.38317757007</v>
      </c>
      <c r="P19" s="25">
        <f t="shared" si="87"/>
        <v>184737.38317757007</v>
      </c>
      <c r="Q19" s="25">
        <f t="shared" si="88"/>
        <v>21944.366666666665</v>
      </c>
      <c r="R19" s="25">
        <f t="shared" si="89"/>
        <v>482776.06666666665</v>
      </c>
      <c r="S19" s="26">
        <f t="shared" si="90"/>
        <v>0.6034700833333333</v>
      </c>
      <c r="T19" s="27">
        <f t="shared" si="91"/>
        <v>203211.1214953271</v>
      </c>
      <c r="U19" s="28">
        <f t="shared" si="92"/>
        <v>203211.1214953271</v>
      </c>
      <c r="V19" s="28">
        <f t="shared" si="93"/>
        <v>221684.85981308407</v>
      </c>
      <c r="W19" s="28">
        <f t="shared" si="94"/>
        <v>221684.85981308407</v>
      </c>
      <c r="X19" s="29">
        <f t="shared" si="95"/>
        <v>4.1766029195319188E-2</v>
      </c>
      <c r="Y19" s="29" t="e">
        <f t="shared" si="96"/>
        <v>#DIV/0!</v>
      </c>
      <c r="Z19" s="30">
        <f>_xlfn.XLOOKUP(A19,ยอดขายปีที่แล้ว!B:B,ยอดขายปีที่แล้ว!D:D,0,0)</f>
        <v>0</v>
      </c>
      <c r="AA19" s="31">
        <f t="shared" si="97"/>
        <v>0</v>
      </c>
      <c r="AB19" s="84">
        <f t="shared" si="98"/>
        <v>615262.61682242993</v>
      </c>
      <c r="AC19" s="37">
        <f t="shared" si="99"/>
        <v>615262.61682242993</v>
      </c>
      <c r="AD19" s="108" t="e">
        <f t="shared" si="100"/>
        <v>#DIV/0!</v>
      </c>
      <c r="AE19" s="30">
        <f>_xlfn.XLOOKUP(A19,ยอดขายเดือนที่เแล้ว!B:B,ยอดขายเดือนที่เแล้ว!D:D,0,0)</f>
        <v>489052.4</v>
      </c>
      <c r="AF19" s="27">
        <f t="shared" si="101"/>
        <v>457058.31775700935</v>
      </c>
      <c r="AG19" s="87">
        <f t="shared" si="102"/>
        <v>615262.61682242993</v>
      </c>
      <c r="AH19" s="142">
        <f t="shared" si="28"/>
        <v>158204.29906542058</v>
      </c>
      <c r="AI19" s="113">
        <f t="shared" si="29"/>
        <v>0.3461359150880356</v>
      </c>
      <c r="AJ19" s="32">
        <v>307762</v>
      </c>
      <c r="AK19" s="31">
        <v>131404</v>
      </c>
      <c r="AL19" s="31">
        <v>141031</v>
      </c>
      <c r="AM19" s="33">
        <v>115539</v>
      </c>
      <c r="AN19" s="32"/>
      <c r="AO19" s="162">
        <f t="shared" si="30"/>
        <v>-25492</v>
      </c>
      <c r="AP19" s="144">
        <f t="shared" si="31"/>
        <v>-0.18075458587119145</v>
      </c>
      <c r="AQ19" s="146" t="s">
        <v>308</v>
      </c>
      <c r="AR19" s="35"/>
      <c r="AS19" s="10" t="str">
        <f t="shared" si="68"/>
        <v>Yuedpao สาขา Sermthai Complex มหาสารคาม</v>
      </c>
      <c r="AT19" s="11">
        <f t="shared" si="69"/>
        <v>800000</v>
      </c>
      <c r="AU19" s="11">
        <f t="shared" si="70"/>
        <v>615262.61682242993</v>
      </c>
      <c r="AV19" s="12">
        <f t="shared" si="71"/>
        <v>20508.753894080997</v>
      </c>
      <c r="AW19" s="13">
        <f t="shared" si="72"/>
        <v>635771.37071651092</v>
      </c>
      <c r="AX19" s="137">
        <f t="shared" si="61"/>
        <v>0.79471421339563864</v>
      </c>
      <c r="AY19" s="130">
        <f t="shared" si="25"/>
        <v>30763.130841121496</v>
      </c>
      <c r="AZ19" s="131">
        <f t="shared" si="73"/>
        <v>646025.74766355148</v>
      </c>
      <c r="BA19" s="100">
        <f t="shared" si="27"/>
        <v>0.80753218457943932</v>
      </c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</row>
    <row r="20" spans="1:73" s="36" customFormat="1" ht="69" customHeight="1" x14ac:dyDescent="0.15">
      <c r="A20" s="39" t="s">
        <v>206</v>
      </c>
      <c r="B20" s="40"/>
      <c r="C20" s="41">
        <f>SUM(C3:C19)</f>
        <v>15980000</v>
      </c>
      <c r="D20" s="41">
        <f>SUM(D3:D16)</f>
        <v>456000</v>
      </c>
      <c r="E20" s="41">
        <f>SUM(E3:E19)</f>
        <v>15762355.5</v>
      </c>
      <c r="F20" s="41">
        <f>SUM(F3:F19)</f>
        <v>14731173.364485979</v>
      </c>
      <c r="G20" s="41">
        <f>SUM(G3:G16)</f>
        <v>28653</v>
      </c>
      <c r="H20" s="42">
        <f t="shared" si="40"/>
        <v>550.11187310229298</v>
      </c>
      <c r="I20" s="41">
        <v>419</v>
      </c>
      <c r="J20" s="43">
        <f t="shared" si="41"/>
        <v>0.23833674478411557</v>
      </c>
      <c r="K20" s="43">
        <f>(E20-C20)/$E$36</f>
        <v>-217644.5</v>
      </c>
      <c r="L20" s="44">
        <f t="shared" ref="L20" si="103">F20/C20</f>
        <v>0.92185064859111254</v>
      </c>
      <c r="M20" s="44"/>
      <c r="N20" s="51">
        <f>SUM(N3:N16)</f>
        <v>689109.81308411225</v>
      </c>
      <c r="O20" s="41">
        <f>SUM(O3:O15)</f>
        <v>586809.81308411225</v>
      </c>
      <c r="P20" s="41">
        <f>SUM(N20/$E$36)</f>
        <v>689109.81308411225</v>
      </c>
      <c r="Q20" s="41">
        <f t="shared" ref="Q20:W20" si="104">SUM(Q3:Q9)</f>
        <v>225595.27333333335</v>
      </c>
      <c r="R20" s="41">
        <f t="shared" si="104"/>
        <v>4963096.0133333337</v>
      </c>
      <c r="S20" s="41">
        <f t="shared" si="104"/>
        <v>5.5904961543227003</v>
      </c>
      <c r="T20" s="41">
        <f t="shared" si="104"/>
        <v>5388.7663551404548</v>
      </c>
      <c r="U20" s="41">
        <f t="shared" si="104"/>
        <v>5388.7663551404548</v>
      </c>
      <c r="V20" s="41">
        <f t="shared" si="104"/>
        <v>5878.6542056077742</v>
      </c>
      <c r="W20" s="41">
        <f t="shared" si="104"/>
        <v>5878.6542056077742</v>
      </c>
      <c r="X20" s="45">
        <f>E20/$E$20</f>
        <v>1</v>
      </c>
      <c r="Y20" s="41" t="e">
        <f>SUM(Y3:Y9)</f>
        <v>#DIV/0!</v>
      </c>
      <c r="Z20" s="41">
        <f>SUM(Z3:Z9)</f>
        <v>5950773.5</v>
      </c>
      <c r="AA20" s="41">
        <f>SUM(AA3:AA9)</f>
        <v>5561470.5607476644</v>
      </c>
      <c r="AB20" s="41">
        <f>SUM(AB3:AB9)</f>
        <v>6325101.121495327</v>
      </c>
      <c r="AC20" s="109">
        <f>AB20-AA20</f>
        <v>763630.56074766256</v>
      </c>
      <c r="AD20" s="110">
        <f>(AB20-AA20)/AA20</f>
        <v>0.13730730971360258</v>
      </c>
      <c r="AE20" s="41">
        <f>SUM(AE3:AE9)</f>
        <v>8550739.5999999996</v>
      </c>
      <c r="AF20" s="41">
        <f>SUM(AF3:AF9)</f>
        <v>7991345.4205607474</v>
      </c>
      <c r="AG20" s="41">
        <f>SUM(AG3:AG9)</f>
        <v>6325101.121495327</v>
      </c>
      <c r="AH20" s="159">
        <f t="shared" si="28"/>
        <v>-1666244.2990654204</v>
      </c>
      <c r="AI20" s="160">
        <f t="shared" si="29"/>
        <v>-0.20850610396321739</v>
      </c>
      <c r="AJ20" s="41">
        <f>SUM(AJ3:AJ9)</f>
        <v>2664218</v>
      </c>
      <c r="AK20" s="41">
        <f>SUM(AK3:AK9)</f>
        <v>1429117.5</v>
      </c>
      <c r="AL20" s="41">
        <f>SUM(AL3:AL9)</f>
        <v>1460748.5</v>
      </c>
      <c r="AM20" s="41">
        <f>SUM(AM3:AM9)</f>
        <v>1376685.2</v>
      </c>
      <c r="AN20" s="41">
        <f>SUM(AN3:AN9)</f>
        <v>0</v>
      </c>
      <c r="AO20" s="164">
        <f t="shared" si="30"/>
        <v>-84063.300000000047</v>
      </c>
      <c r="AP20" s="145">
        <f t="shared" si="31"/>
        <v>-5.754809948461357E-2</v>
      </c>
      <c r="AQ20" s="46"/>
      <c r="AR20" s="35"/>
      <c r="AS20" s="8" t="s">
        <v>220</v>
      </c>
      <c r="AT20" s="14">
        <f>SUM(AT3:AT16)</f>
        <v>13680000</v>
      </c>
      <c r="AU20" s="14">
        <f>SUM(AU3:AU16)</f>
        <v>12990890.186915886</v>
      </c>
      <c r="AV20" s="15">
        <f>AU20/$D$36</f>
        <v>433029.6728971962</v>
      </c>
      <c r="AW20" s="16">
        <f>(AV20*$E$36)+AU20</f>
        <v>13423919.859813081</v>
      </c>
      <c r="AX20" s="136">
        <f>AW20/AT20</f>
        <v>0.98128069150680419</v>
      </c>
      <c r="AY20" s="133">
        <f>(AV20*50%)+AV20</f>
        <v>649544.50934579433</v>
      </c>
      <c r="AZ20" s="134">
        <f>(AY20*$E$36)+AU20</f>
        <v>13640434.69626168</v>
      </c>
      <c r="BA20" s="135">
        <f t="shared" si="27"/>
        <v>0.99710779943433336</v>
      </c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</row>
    <row r="21" spans="1:73" s="35" customFormat="1" ht="69" customHeight="1" x14ac:dyDescent="0.15">
      <c r="A21" s="39" t="s">
        <v>213</v>
      </c>
      <c r="B21" s="47">
        <f>SUM(B3:B15)</f>
        <v>13621100</v>
      </c>
      <c r="C21" s="41">
        <f>SUM(C3:C19)</f>
        <v>15980000</v>
      </c>
      <c r="D21" s="47">
        <f>C21/31</f>
        <v>515483.87096774194</v>
      </c>
      <c r="E21" s="47">
        <f>SUM(E3:E19)</f>
        <v>15762355.5</v>
      </c>
      <c r="F21" s="47">
        <f>SUM(F3:F19)</f>
        <v>14731173.364485979</v>
      </c>
      <c r="G21" s="47">
        <f>SUM(G3:G16)</f>
        <v>28653</v>
      </c>
      <c r="H21" s="42">
        <f t="shared" si="40"/>
        <v>550.11187310229298</v>
      </c>
      <c r="I21" s="42">
        <v>419</v>
      </c>
      <c r="J21" s="48">
        <f t="shared" si="41"/>
        <v>0.23833674478411557</v>
      </c>
      <c r="K21" s="49">
        <f>(E21-C21)/$E$36</f>
        <v>-217644.5</v>
      </c>
      <c r="L21" s="44">
        <f>F21/C21</f>
        <v>0.92185064859111254</v>
      </c>
      <c r="M21" s="44"/>
      <c r="N21" s="165">
        <f>SUM(N3:N16)</f>
        <v>689109.81308411225</v>
      </c>
      <c r="O21" s="50">
        <f>N21/$E$36</f>
        <v>689109.81308411225</v>
      </c>
      <c r="P21" s="41">
        <f>SUM(N21/$E$36)</f>
        <v>689109.81308411225</v>
      </c>
      <c r="Q21" s="51">
        <f>E21/$D$36</f>
        <v>525411.85</v>
      </c>
      <c r="R21" s="51">
        <f>Q21*22</f>
        <v>11559060.699999999</v>
      </c>
      <c r="S21" s="43">
        <f>R21/C21</f>
        <v>0.72334547559449303</v>
      </c>
      <c r="T21" s="41">
        <f>SUM(T3:T15)</f>
        <v>645490.79439252359</v>
      </c>
      <c r="U21" s="41">
        <f>T21/$E$36</f>
        <v>645490.79439252359</v>
      </c>
      <c r="V21" s="41">
        <f>SUM(V3:V15)</f>
        <v>704171.77570093458</v>
      </c>
      <c r="W21" s="41">
        <f>SUM(V21/$E$36)</f>
        <v>704171.77570093458</v>
      </c>
      <c r="X21" s="45">
        <f>E21/$E$21</f>
        <v>1</v>
      </c>
      <c r="Y21" s="52" t="e">
        <f>E21/H36</f>
        <v>#DIV/0!</v>
      </c>
      <c r="Z21" s="41">
        <f>SUM(Z2:Z20)</f>
        <v>17929683.52</v>
      </c>
      <c r="AA21" s="41">
        <f>SUM(AA3:AA19)</f>
        <v>11193352.355140187</v>
      </c>
      <c r="AB21" s="41">
        <f>SUM(AB3:AB19)</f>
        <v>14731173.364485979</v>
      </c>
      <c r="AC21" s="53">
        <f t="shared" si="57"/>
        <v>3537821.0093457922</v>
      </c>
      <c r="AD21" s="48">
        <f>(AB21-AA21)/AA21</f>
        <v>0.31606447265292797</v>
      </c>
      <c r="AE21" s="47">
        <f>SUM(AE3:AE16)</f>
        <v>17474824.600000001</v>
      </c>
      <c r="AF21" s="47">
        <f>SUM(AF3:AF19)</f>
        <v>18413949.532710284</v>
      </c>
      <c r="AG21" s="47">
        <f>SUM(AG3:AG19)</f>
        <v>14731173.364485979</v>
      </c>
      <c r="AH21" s="159">
        <f t="shared" si="28"/>
        <v>-3682776.1682243049</v>
      </c>
      <c r="AI21" s="160">
        <f t="shared" si="29"/>
        <v>-0.19999925391792089</v>
      </c>
      <c r="AJ21" s="47">
        <f>SUM(AJ3:AJ19)</f>
        <v>6550433.7999999998</v>
      </c>
      <c r="AK21" s="47">
        <f>SUM(AK3:AK19)</f>
        <v>3407482.5</v>
      </c>
      <c r="AL21" s="47">
        <f>SUM(AL3:AL15)</f>
        <v>2723162.5</v>
      </c>
      <c r="AM21" s="47">
        <f>SUM(AM3:AM15)</f>
        <v>2581318.7000000002</v>
      </c>
      <c r="AN21" s="41">
        <f>SUM(AN3:AN15)</f>
        <v>0</v>
      </c>
      <c r="AO21" s="164">
        <f t="shared" si="30"/>
        <v>-141843.79999999981</v>
      </c>
      <c r="AP21" s="145">
        <f t="shared" si="31"/>
        <v>-5.2087894130445692E-2</v>
      </c>
      <c r="AQ21" s="46"/>
      <c r="AW21" s="151">
        <f>(AW20*7)/100+AW20</f>
        <v>14363594.249999996</v>
      </c>
    </row>
    <row r="22" spans="1:73" x14ac:dyDescent="0.2">
      <c r="C22" s="55"/>
      <c r="I22" s="56"/>
    </row>
    <row r="23" spans="1:73" ht="32" customHeight="1" x14ac:dyDescent="0.2">
      <c r="C23" s="55"/>
      <c r="E23" s="154">
        <f>SUM(E21-C21)</f>
        <v>-217644.5</v>
      </c>
      <c r="F23" s="154">
        <f>SUM(F21-C21)</f>
        <v>-1248826.6355140209</v>
      </c>
      <c r="G23" s="156"/>
      <c r="H23" s="156"/>
      <c r="I23" s="156"/>
      <c r="J23" s="156"/>
      <c r="K23" s="157" t="s">
        <v>24</v>
      </c>
      <c r="L23" s="155">
        <f>SUM(L21-100%)</f>
        <v>-7.8149351408887457E-2</v>
      </c>
      <c r="M23" s="60"/>
    </row>
    <row r="24" spans="1:73" x14ac:dyDescent="0.2">
      <c r="E24" s="58"/>
      <c r="F24" s="58"/>
      <c r="K24" s="59"/>
      <c r="L24" s="60"/>
      <c r="M24" s="60"/>
    </row>
    <row r="25" spans="1:73" x14ac:dyDescent="0.2">
      <c r="E25" s="58"/>
      <c r="F25" s="58"/>
      <c r="K25" s="59"/>
      <c r="L25" s="60"/>
      <c r="M25" s="60"/>
      <c r="Z25" s="57"/>
      <c r="AA25" s="57"/>
      <c r="AB25" s="57"/>
    </row>
    <row r="26" spans="1:73" ht="35" customHeight="1" x14ac:dyDescent="0.2">
      <c r="C26" s="139">
        <f>C21-F21</f>
        <v>1248826.6355140209</v>
      </c>
      <c r="E26" s="58"/>
      <c r="F26" s="58"/>
      <c r="I26" s="54">
        <f>SUM(I3:I15)</f>
        <v>5112</v>
      </c>
      <c r="J26" s="54">
        <f>I26/15</f>
        <v>340.8</v>
      </c>
      <c r="K26" s="59"/>
      <c r="L26" s="60"/>
      <c r="M26" s="60"/>
      <c r="Z26" s="61"/>
      <c r="AA26" s="61"/>
      <c r="AB26" s="61"/>
    </row>
    <row r="27" spans="1:73" ht="8" customHeight="1" x14ac:dyDescent="0.2">
      <c r="E27" s="58"/>
      <c r="F27" s="58"/>
      <c r="K27" s="59"/>
      <c r="L27" s="60"/>
      <c r="M27" s="60"/>
    </row>
    <row r="28" spans="1:73" x14ac:dyDescent="0.2">
      <c r="C28" s="138"/>
      <c r="E28" s="58"/>
      <c r="F28" s="62"/>
      <c r="G28" s="56"/>
      <c r="K28" s="59"/>
      <c r="L28" s="63"/>
      <c r="M28" s="63"/>
      <c r="N28" s="64"/>
      <c r="O28" s="64"/>
      <c r="P28" s="64"/>
      <c r="Q28" s="64"/>
      <c r="R28" s="64"/>
      <c r="S28" s="64"/>
      <c r="T28" s="64"/>
      <c r="U28" s="64"/>
      <c r="V28" s="64"/>
      <c r="W28" s="64" t="s">
        <v>2</v>
      </c>
      <c r="X28" s="64"/>
      <c r="Y28" s="64"/>
      <c r="Z28" s="65"/>
      <c r="AA28" s="65"/>
      <c r="AB28" s="66"/>
      <c r="AC28" s="67"/>
      <c r="AD28" s="68"/>
      <c r="AE28" s="64"/>
      <c r="AF28" s="64"/>
      <c r="AG28" s="64"/>
      <c r="AH28" s="64"/>
      <c r="AI28" s="64"/>
      <c r="AJ28" s="64"/>
    </row>
    <row r="29" spans="1:73" x14ac:dyDescent="0.2">
      <c r="E29" s="58"/>
      <c r="F29" s="58"/>
      <c r="G29" s="56"/>
      <c r="K29" s="59"/>
      <c r="L29" s="63"/>
      <c r="M29" s="63"/>
      <c r="N29" s="64"/>
      <c r="O29" s="64"/>
      <c r="P29" s="64"/>
      <c r="Q29" s="64"/>
      <c r="R29" s="64"/>
      <c r="S29" s="64"/>
      <c r="T29" s="64"/>
      <c r="U29" s="64"/>
      <c r="V29" s="64"/>
      <c r="W29" s="64" t="s">
        <v>1</v>
      </c>
      <c r="X29" s="64"/>
      <c r="Y29" s="64"/>
      <c r="Z29" s="65"/>
      <c r="AA29" s="65"/>
      <c r="AB29" s="66"/>
      <c r="AC29" s="67"/>
      <c r="AD29" s="68"/>
      <c r="AE29" s="64"/>
      <c r="AF29" s="64"/>
      <c r="AG29" s="64"/>
      <c r="AH29" s="64"/>
      <c r="AI29" s="64"/>
      <c r="AJ29" s="64"/>
    </row>
    <row r="30" spans="1:73" x14ac:dyDescent="0.2">
      <c r="E30" s="58"/>
      <c r="F30" s="58"/>
      <c r="K30" s="59"/>
      <c r="L30" s="63"/>
      <c r="M30" s="63"/>
      <c r="N30" s="64"/>
      <c r="O30" s="64"/>
      <c r="P30" s="64"/>
      <c r="Q30" s="64"/>
      <c r="R30" s="64"/>
      <c r="S30" s="64"/>
      <c r="T30" s="64"/>
      <c r="U30" s="64"/>
      <c r="V30" s="64"/>
      <c r="W30" s="64" t="s">
        <v>38</v>
      </c>
      <c r="X30" s="64"/>
      <c r="Y30" s="64"/>
      <c r="Z30" s="65"/>
      <c r="AA30" s="65"/>
      <c r="AB30" s="66"/>
      <c r="AC30" s="67"/>
      <c r="AD30" s="68"/>
      <c r="AE30" s="64"/>
      <c r="AF30" s="64"/>
      <c r="AG30" s="64"/>
      <c r="AH30" s="64"/>
      <c r="AI30" s="64"/>
      <c r="AJ30" s="64"/>
    </row>
    <row r="31" spans="1:73" x14ac:dyDescent="0.2">
      <c r="E31" s="58"/>
      <c r="F31" s="58"/>
      <c r="K31" s="59"/>
      <c r="L31" s="63"/>
      <c r="M31" s="63"/>
      <c r="N31" s="64"/>
      <c r="O31" s="64"/>
      <c r="P31" s="64"/>
      <c r="Q31" s="64"/>
      <c r="R31" s="64"/>
      <c r="S31" s="64"/>
      <c r="T31" s="64"/>
      <c r="U31" s="64"/>
      <c r="V31" s="64"/>
      <c r="W31" s="64" t="s">
        <v>143</v>
      </c>
      <c r="X31" s="64"/>
      <c r="Y31" s="64"/>
      <c r="Z31" s="65"/>
      <c r="AA31" s="65"/>
      <c r="AB31" s="66"/>
      <c r="AC31" s="69"/>
      <c r="AD31" s="68"/>
      <c r="AE31" s="64"/>
      <c r="AF31" s="64"/>
      <c r="AG31" s="64"/>
      <c r="AH31" s="64"/>
      <c r="AI31" s="64"/>
      <c r="AJ31" s="64"/>
    </row>
    <row r="32" spans="1:73" x14ac:dyDescent="0.2">
      <c r="E32" s="70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 t="s">
        <v>39</v>
      </c>
      <c r="X32" s="64"/>
      <c r="Y32" s="64"/>
      <c r="Z32" s="65"/>
      <c r="AA32" s="65"/>
      <c r="AB32" s="66"/>
      <c r="AC32" s="67"/>
      <c r="AD32" s="68"/>
      <c r="AE32" s="64"/>
      <c r="AF32" s="64"/>
      <c r="AG32" s="64"/>
      <c r="AH32" s="64"/>
      <c r="AI32" s="64"/>
      <c r="AJ32" s="64"/>
    </row>
    <row r="33" spans="1:36" x14ac:dyDescent="0.2"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 t="s">
        <v>4</v>
      </c>
      <c r="X33" s="64"/>
      <c r="Y33" s="64"/>
      <c r="Z33" s="65"/>
      <c r="AA33" s="65"/>
      <c r="AB33" s="66"/>
      <c r="AC33" s="69"/>
      <c r="AD33" s="68"/>
      <c r="AE33" s="64"/>
      <c r="AF33" s="64"/>
      <c r="AG33" s="64"/>
      <c r="AH33" s="64"/>
      <c r="AI33" s="64"/>
      <c r="AJ33" s="64"/>
    </row>
    <row r="34" spans="1:36" x14ac:dyDescent="0.2">
      <c r="D34" s="174" t="s">
        <v>31</v>
      </c>
      <c r="E34" s="174"/>
      <c r="H34" s="174" t="s">
        <v>31</v>
      </c>
      <c r="I34" s="17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 t="s">
        <v>37</v>
      </c>
      <c r="X34" s="64"/>
      <c r="Y34" s="64"/>
      <c r="Z34" s="65"/>
      <c r="AA34" s="65"/>
      <c r="AB34" s="66"/>
      <c r="AC34" s="67"/>
      <c r="AD34" s="68"/>
      <c r="AE34" s="64"/>
      <c r="AF34" s="64"/>
      <c r="AG34" s="64"/>
      <c r="AH34" s="64"/>
      <c r="AI34" s="64"/>
      <c r="AJ34" s="64"/>
    </row>
    <row r="35" spans="1:36" x14ac:dyDescent="0.2">
      <c r="D35" s="71" t="s">
        <v>27</v>
      </c>
      <c r="E35" s="71" t="s">
        <v>26</v>
      </c>
      <c r="H35" s="173" t="s">
        <v>30</v>
      </c>
      <c r="I35" s="173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 t="s">
        <v>5</v>
      </c>
      <c r="X35" s="64"/>
      <c r="Y35" s="64"/>
      <c r="Z35" s="65"/>
      <c r="AA35" s="65"/>
      <c r="AB35" s="66"/>
      <c r="AC35" s="69"/>
      <c r="AD35" s="68"/>
      <c r="AE35" s="64"/>
      <c r="AF35" s="64"/>
      <c r="AG35" s="64"/>
      <c r="AH35" s="64"/>
      <c r="AI35" s="64"/>
      <c r="AJ35" s="64"/>
    </row>
    <row r="36" spans="1:36" ht="40" customHeight="1" x14ac:dyDescent="0.2">
      <c r="D36" s="72">
        <v>30</v>
      </c>
      <c r="E36" s="72">
        <f>31-D36</f>
        <v>1</v>
      </c>
      <c r="F36" s="73"/>
      <c r="H36" s="172"/>
      <c r="I36" s="172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 t="s">
        <v>36</v>
      </c>
      <c r="X36" s="64"/>
      <c r="Y36" s="64"/>
      <c r="Z36" s="65"/>
      <c r="AA36" s="65"/>
      <c r="AB36" s="66"/>
      <c r="AC36" s="67"/>
      <c r="AD36" s="68"/>
      <c r="AE36" s="64"/>
      <c r="AF36" s="64"/>
      <c r="AG36" s="64"/>
      <c r="AH36" s="64"/>
      <c r="AI36" s="64"/>
      <c r="AJ36" s="64"/>
    </row>
    <row r="37" spans="1:36" x14ac:dyDescent="0.2"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 t="s">
        <v>40</v>
      </c>
      <c r="X37" s="64"/>
      <c r="Y37" s="64"/>
      <c r="Z37" s="65"/>
      <c r="AA37" s="65"/>
      <c r="AB37" s="66"/>
      <c r="AC37" s="67"/>
      <c r="AD37" s="68"/>
      <c r="AE37" s="64"/>
      <c r="AF37" s="64"/>
      <c r="AG37" s="64"/>
      <c r="AH37" s="64"/>
      <c r="AI37" s="64"/>
      <c r="AJ37" s="64"/>
    </row>
    <row r="38" spans="1:36" x14ac:dyDescent="0.2"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 t="s">
        <v>3</v>
      </c>
      <c r="X38" s="64"/>
      <c r="Y38" s="64"/>
      <c r="Z38" s="65"/>
      <c r="AA38" s="65"/>
      <c r="AB38" s="66"/>
      <c r="AC38" s="69"/>
      <c r="AD38" s="68"/>
      <c r="AE38" s="64"/>
      <c r="AF38" s="64"/>
      <c r="AG38" s="64"/>
      <c r="AH38" s="64"/>
      <c r="AI38" s="64"/>
      <c r="AJ38" s="64"/>
    </row>
    <row r="39" spans="1:36" x14ac:dyDescent="0.2"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 t="s">
        <v>41</v>
      </c>
      <c r="X39" s="64"/>
      <c r="Y39" s="64"/>
      <c r="Z39" s="65"/>
      <c r="AA39" s="65"/>
      <c r="AB39" s="66"/>
      <c r="AC39" s="69"/>
      <c r="AD39" s="68"/>
      <c r="AE39" s="64"/>
      <c r="AF39" s="64"/>
      <c r="AG39" s="64"/>
      <c r="AH39" s="64"/>
      <c r="AI39" s="64"/>
      <c r="AJ39" s="64"/>
    </row>
    <row r="40" spans="1:36" x14ac:dyDescent="0.2">
      <c r="E40" s="57"/>
      <c r="F40" s="57"/>
      <c r="G40" s="57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 t="s">
        <v>6</v>
      </c>
      <c r="X40" s="64"/>
      <c r="Y40" s="64"/>
      <c r="Z40" s="65"/>
      <c r="AA40" s="65"/>
      <c r="AB40" s="66"/>
      <c r="AC40" s="69"/>
      <c r="AD40" s="68"/>
      <c r="AE40" s="64"/>
      <c r="AF40" s="64"/>
      <c r="AG40" s="64"/>
      <c r="AH40" s="64"/>
      <c r="AI40" s="64"/>
      <c r="AJ40" s="64"/>
    </row>
    <row r="41" spans="1:36" x14ac:dyDescent="0.2">
      <c r="E41" s="74"/>
      <c r="F41" s="74"/>
      <c r="G41" s="75"/>
      <c r="H41" s="76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 t="s">
        <v>7</v>
      </c>
      <c r="X41" s="64"/>
      <c r="Y41" s="64"/>
      <c r="Z41" s="65"/>
      <c r="AA41" s="65"/>
      <c r="AB41" s="66"/>
      <c r="AC41" s="69"/>
      <c r="AD41" s="68"/>
      <c r="AE41" s="64"/>
      <c r="AF41" s="64"/>
      <c r="AG41" s="64"/>
      <c r="AH41" s="64"/>
      <c r="AI41" s="64"/>
      <c r="AJ41" s="64"/>
    </row>
    <row r="42" spans="1:36" x14ac:dyDescent="0.2">
      <c r="E42" s="74"/>
      <c r="F42" s="74"/>
      <c r="G42" s="75"/>
      <c r="H42" s="76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 t="s">
        <v>167</v>
      </c>
      <c r="X42" s="64"/>
      <c r="Y42" s="64"/>
      <c r="Z42" s="65"/>
      <c r="AA42" s="65"/>
      <c r="AB42" s="66"/>
      <c r="AC42" s="69"/>
      <c r="AD42" s="68"/>
      <c r="AE42" s="64"/>
      <c r="AF42" s="64"/>
      <c r="AG42" s="64"/>
      <c r="AH42" s="64"/>
      <c r="AI42" s="64"/>
      <c r="AJ42" s="64"/>
    </row>
    <row r="43" spans="1:36" x14ac:dyDescent="0.2">
      <c r="A43" s="77" t="s">
        <v>0</v>
      </c>
      <c r="B43" s="77"/>
      <c r="C43" s="77" t="s">
        <v>35</v>
      </c>
      <c r="D43" s="77" t="s">
        <v>173</v>
      </c>
      <c r="E43" s="74"/>
      <c r="F43" s="74"/>
      <c r="G43" s="75"/>
      <c r="H43" s="76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</row>
    <row r="44" spans="1:36" x14ac:dyDescent="0.2">
      <c r="A44" s="78" t="s">
        <v>103</v>
      </c>
      <c r="B44" s="79"/>
      <c r="C44" s="20">
        <f t="shared" ref="C44:C50" si="105">C3</f>
        <v>1030000</v>
      </c>
      <c r="D44" s="80">
        <f t="shared" ref="D44:D50" si="106">E3</f>
        <v>1027144</v>
      </c>
      <c r="E44" s="74"/>
      <c r="F44" s="74"/>
      <c r="G44" s="75"/>
      <c r="H44" s="76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</row>
    <row r="45" spans="1:36" x14ac:dyDescent="0.2">
      <c r="A45" s="78" t="s">
        <v>109</v>
      </c>
      <c r="B45" s="79"/>
      <c r="C45" s="20">
        <f t="shared" si="105"/>
        <v>700000</v>
      </c>
      <c r="D45" s="80">
        <f t="shared" si="106"/>
        <v>872878</v>
      </c>
      <c r="E45" s="74"/>
      <c r="F45" s="74"/>
      <c r="G45" s="75"/>
      <c r="H45" s="76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</row>
    <row r="46" spans="1:36" x14ac:dyDescent="0.2">
      <c r="A46" s="78" t="s">
        <v>1</v>
      </c>
      <c r="B46" s="79"/>
      <c r="C46" s="20">
        <f t="shared" si="105"/>
        <v>1100000</v>
      </c>
      <c r="D46" s="80">
        <f t="shared" si="106"/>
        <v>945055.2</v>
      </c>
      <c r="E46" s="74"/>
      <c r="F46" s="74"/>
      <c r="G46" s="81"/>
      <c r="H46" s="76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</row>
    <row r="47" spans="1:36" x14ac:dyDescent="0.2">
      <c r="A47" s="78" t="s">
        <v>78</v>
      </c>
      <c r="B47" s="79"/>
      <c r="C47" s="20">
        <f t="shared" si="105"/>
        <v>1200000</v>
      </c>
      <c r="D47" s="80">
        <f t="shared" si="106"/>
        <v>1198422</v>
      </c>
      <c r="E47" s="74"/>
      <c r="F47" s="74"/>
      <c r="G47" s="81"/>
      <c r="H47" s="76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</row>
    <row r="48" spans="1:36" x14ac:dyDescent="0.2">
      <c r="A48" s="78" t="s">
        <v>129</v>
      </c>
      <c r="B48" s="79"/>
      <c r="C48" s="20">
        <f t="shared" si="105"/>
        <v>600000</v>
      </c>
      <c r="D48" s="80">
        <f t="shared" si="106"/>
        <v>620565</v>
      </c>
      <c r="E48" s="74"/>
      <c r="F48" s="74"/>
      <c r="G48" s="75"/>
      <c r="H48" s="76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</row>
    <row r="49" spans="1:36" x14ac:dyDescent="0.2">
      <c r="A49" s="78" t="s">
        <v>167</v>
      </c>
      <c r="B49" s="79"/>
      <c r="C49" s="20">
        <f t="shared" si="105"/>
        <v>500000</v>
      </c>
      <c r="D49" s="80">
        <f t="shared" si="106"/>
        <v>629096</v>
      </c>
      <c r="E49" s="74"/>
      <c r="F49" s="74"/>
      <c r="G49" s="81"/>
      <c r="H49" s="76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</row>
    <row r="50" spans="1:36" x14ac:dyDescent="0.2">
      <c r="A50" s="82" t="s">
        <v>190</v>
      </c>
      <c r="B50" s="79"/>
      <c r="C50" s="20">
        <f t="shared" si="105"/>
        <v>1200000</v>
      </c>
      <c r="D50" s="80">
        <f t="shared" si="106"/>
        <v>1474698</v>
      </c>
      <c r="E50" s="74"/>
      <c r="F50" s="74"/>
      <c r="G50" s="81"/>
      <c r="H50" s="76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</row>
    <row r="51" spans="1:36" x14ac:dyDescent="0.2">
      <c r="A51" s="82" t="s">
        <v>49</v>
      </c>
      <c r="B51" s="79"/>
      <c r="C51" s="20">
        <f t="shared" ref="C51:C59" si="107">C11</f>
        <v>2200000</v>
      </c>
      <c r="D51" s="80">
        <f t="shared" ref="D51:D59" si="108">E11</f>
        <v>2122760</v>
      </c>
      <c r="E51" s="74"/>
      <c r="F51" s="74"/>
      <c r="G51" s="81"/>
      <c r="H51" s="76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</row>
    <row r="52" spans="1:36" x14ac:dyDescent="0.2">
      <c r="A52" s="78" t="s">
        <v>38</v>
      </c>
      <c r="B52" s="79"/>
      <c r="C52" s="20">
        <f t="shared" si="107"/>
        <v>1400000</v>
      </c>
      <c r="D52" s="80">
        <f t="shared" si="108"/>
        <v>1272433.8</v>
      </c>
      <c r="E52" s="74"/>
      <c r="F52" s="74"/>
      <c r="G52" s="81"/>
      <c r="H52" s="76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</row>
    <row r="53" spans="1:36" x14ac:dyDescent="0.2">
      <c r="A53" s="83" t="s">
        <v>51</v>
      </c>
      <c r="B53" s="79"/>
      <c r="C53" s="20">
        <f t="shared" si="107"/>
        <v>700000</v>
      </c>
      <c r="D53" s="80">
        <f t="shared" si="108"/>
        <v>836250</v>
      </c>
      <c r="E53" s="74"/>
      <c r="F53" s="74"/>
      <c r="G53" s="81"/>
      <c r="H53" s="76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</row>
    <row r="54" spans="1:36" x14ac:dyDescent="0.2">
      <c r="A54" s="83" t="s">
        <v>82</v>
      </c>
      <c r="B54" s="79"/>
      <c r="C54" s="20">
        <f t="shared" si="107"/>
        <v>1700000</v>
      </c>
      <c r="D54" s="80">
        <f t="shared" si="108"/>
        <v>1658515.5</v>
      </c>
      <c r="E54" s="74"/>
      <c r="F54" s="74"/>
      <c r="G54" s="81"/>
      <c r="H54" s="76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</row>
    <row r="55" spans="1:36" x14ac:dyDescent="0.2">
      <c r="A55" s="78" t="s">
        <v>203</v>
      </c>
      <c r="B55" s="79"/>
      <c r="C55" s="20">
        <f t="shared" si="107"/>
        <v>400000</v>
      </c>
      <c r="D55" s="80">
        <f t="shared" si="108"/>
        <v>335396</v>
      </c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</row>
    <row r="56" spans="1:36" x14ac:dyDescent="0.2">
      <c r="A56" s="78" t="s">
        <v>218</v>
      </c>
      <c r="B56" s="79"/>
      <c r="C56" s="20">
        <f t="shared" si="107"/>
        <v>950000</v>
      </c>
      <c r="D56" s="80">
        <f t="shared" si="108"/>
        <v>907039</v>
      </c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</row>
    <row r="57" spans="1:36" x14ac:dyDescent="0.2">
      <c r="A57" s="79" t="s">
        <v>253</v>
      </c>
      <c r="B57" s="79"/>
      <c r="C57" s="20">
        <f t="shared" si="107"/>
        <v>550000</v>
      </c>
      <c r="D57" s="80">
        <f t="shared" si="108"/>
        <v>469734.5</v>
      </c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</row>
    <row r="58" spans="1:36" x14ac:dyDescent="0.2">
      <c r="A58" s="83" t="s">
        <v>251</v>
      </c>
      <c r="B58" s="79"/>
      <c r="C58" s="20">
        <f t="shared" si="107"/>
        <v>950000</v>
      </c>
      <c r="D58" s="80">
        <f t="shared" si="108"/>
        <v>734037.5</v>
      </c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</row>
    <row r="59" spans="1:36" x14ac:dyDescent="0.2">
      <c r="A59" s="79" t="s">
        <v>267</v>
      </c>
      <c r="B59" s="79"/>
      <c r="C59" s="20">
        <f t="shared" si="107"/>
        <v>800000</v>
      </c>
      <c r="D59" s="80">
        <f t="shared" si="108"/>
        <v>658331</v>
      </c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</row>
    <row r="60" spans="1:36" x14ac:dyDescent="0.2">
      <c r="A60" s="79"/>
      <c r="B60" s="79"/>
      <c r="C60" s="20"/>
      <c r="D60" s="80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</row>
    <row r="61" spans="1:36" x14ac:dyDescent="0.2">
      <c r="A61" s="79"/>
      <c r="B61" s="79"/>
      <c r="C61" s="20"/>
      <c r="D61" s="80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</row>
    <row r="62" spans="1:36" x14ac:dyDescent="0.2">
      <c r="A62" s="79"/>
      <c r="B62" s="79"/>
      <c r="C62" s="20"/>
      <c r="D62" s="80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</row>
    <row r="63" spans="1:36" x14ac:dyDescent="0.2">
      <c r="A63" s="79"/>
      <c r="B63" s="79"/>
      <c r="C63" s="79"/>
      <c r="D63" s="79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</row>
    <row r="64" spans="1:36" x14ac:dyDescent="0.2"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</row>
    <row r="65" spans="12:36" x14ac:dyDescent="0.2"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</row>
    <row r="66" spans="12:36" x14ac:dyDescent="0.2"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</row>
    <row r="67" spans="12:36" x14ac:dyDescent="0.2"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</row>
    <row r="68" spans="12:36" x14ac:dyDescent="0.2"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</row>
    <row r="69" spans="12:36" x14ac:dyDescent="0.2"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</row>
    <row r="70" spans="12:36" x14ac:dyDescent="0.2"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</row>
    <row r="71" spans="12:36" x14ac:dyDescent="0.2"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</row>
    <row r="72" spans="12:36" x14ac:dyDescent="0.2"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</row>
    <row r="73" spans="12:36" x14ac:dyDescent="0.2"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</row>
    <row r="74" spans="12:36" x14ac:dyDescent="0.2"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</row>
    <row r="75" spans="12:36" x14ac:dyDescent="0.2"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</row>
  </sheetData>
  <autoFilter ref="C43:D56" xr:uid="{17E02038-B555-7F4C-A170-734FE1AFA547}"/>
  <mergeCells count="24">
    <mergeCell ref="D34:E34"/>
    <mergeCell ref="Y1:Y2"/>
    <mergeCell ref="J1:J2"/>
    <mergeCell ref="K1:K2"/>
    <mergeCell ref="L1:L2"/>
    <mergeCell ref="X1:X2"/>
    <mergeCell ref="N1:W1"/>
    <mergeCell ref="E1:G1"/>
    <mergeCell ref="H1:H2"/>
    <mergeCell ref="I1:I2"/>
    <mergeCell ref="M1:M2"/>
    <mergeCell ref="AY1:BA1"/>
    <mergeCell ref="AT1:AX1"/>
    <mergeCell ref="AS1:AS2"/>
    <mergeCell ref="H36:I36"/>
    <mergeCell ref="H35:I35"/>
    <mergeCell ref="H34:I34"/>
    <mergeCell ref="Z1:AD1"/>
    <mergeCell ref="AE1:AI1"/>
    <mergeCell ref="AJ1:AP1"/>
    <mergeCell ref="AQ1:AQ2"/>
    <mergeCell ref="AC2:AD2"/>
    <mergeCell ref="AH2:AI2"/>
    <mergeCell ref="AO2:AP2"/>
  </mergeCells>
  <phoneticPr fontId="3" type="noConversion"/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4808E-C5B2-9B43-87A0-51288C7B5FA7}">
  <dimension ref="A1:C991"/>
  <sheetViews>
    <sheetView workbookViewId="0">
      <pane ySplit="1" topLeftCell="A2" activePane="bottomLeft" state="frozen"/>
      <selection pane="bottomLeft" activeCell="B2" sqref="B2:B81"/>
    </sheetView>
  </sheetViews>
  <sheetFormatPr baseColWidth="10" defaultColWidth="10.85546875" defaultRowHeight="15" x14ac:dyDescent="0.15"/>
  <cols>
    <col min="1" max="1" width="7.140625" style="105" customWidth="1"/>
    <col min="2" max="2" width="41.140625" style="112" bestFit="1" customWidth="1"/>
    <col min="3" max="3" width="19" style="112" customWidth="1"/>
    <col min="4" max="16384" width="10.85546875" style="112"/>
  </cols>
  <sheetData>
    <row r="1" spans="1:3" s="105" customFormat="1" ht="20" customHeight="1" x14ac:dyDescent="0.15">
      <c r="A1" s="114" t="s">
        <v>34</v>
      </c>
      <c r="B1" s="114" t="s">
        <v>178</v>
      </c>
      <c r="C1" s="114" t="s">
        <v>265</v>
      </c>
    </row>
    <row r="2" spans="1:3" ht="19.5" customHeight="1" x14ac:dyDescent="0.2">
      <c r="A2" s="140">
        <v>1</v>
      </c>
      <c r="B2" s="148" t="s">
        <v>65</v>
      </c>
      <c r="C2" s="141">
        <v>2600000</v>
      </c>
    </row>
    <row r="3" spans="1:3" ht="19.5" customHeight="1" x14ac:dyDescent="0.2">
      <c r="A3" s="140">
        <v>2</v>
      </c>
      <c r="B3" s="148" t="s">
        <v>56</v>
      </c>
      <c r="C3" s="141">
        <v>2500000</v>
      </c>
    </row>
    <row r="4" spans="1:3" ht="19.5" customHeight="1" x14ac:dyDescent="0.2">
      <c r="A4" s="140">
        <v>3</v>
      </c>
      <c r="B4" s="148" t="s">
        <v>74</v>
      </c>
      <c r="C4" s="141">
        <v>2100000</v>
      </c>
    </row>
    <row r="5" spans="1:3" ht="19.5" customHeight="1" x14ac:dyDescent="0.2">
      <c r="A5" s="140">
        <v>4</v>
      </c>
      <c r="B5" s="148" t="s">
        <v>2</v>
      </c>
      <c r="C5" s="141">
        <v>2000000</v>
      </c>
    </row>
    <row r="6" spans="1:3" ht="19.5" customHeight="1" x14ac:dyDescent="0.2">
      <c r="A6" s="140">
        <v>5</v>
      </c>
      <c r="B6" s="148" t="s">
        <v>82</v>
      </c>
      <c r="C6" s="141">
        <v>1700000</v>
      </c>
    </row>
    <row r="7" spans="1:3" ht="19.5" customHeight="1" x14ac:dyDescent="0.2">
      <c r="A7" s="140">
        <v>6</v>
      </c>
      <c r="B7" s="148" t="s">
        <v>53</v>
      </c>
      <c r="C7" s="141">
        <v>2000000</v>
      </c>
    </row>
    <row r="8" spans="1:3" ht="19.5" customHeight="1" x14ac:dyDescent="0.2">
      <c r="A8" s="140">
        <v>7</v>
      </c>
      <c r="B8" s="148" t="s">
        <v>49</v>
      </c>
      <c r="C8" s="141">
        <v>2200000</v>
      </c>
    </row>
    <row r="9" spans="1:3" ht="19.5" customHeight="1" x14ac:dyDescent="0.2">
      <c r="A9" s="140">
        <v>8</v>
      </c>
      <c r="B9" s="148" t="s">
        <v>63</v>
      </c>
      <c r="C9" s="141">
        <v>1600000</v>
      </c>
    </row>
    <row r="10" spans="1:3" ht="19.5" customHeight="1" x14ac:dyDescent="0.2">
      <c r="A10" s="140">
        <v>9</v>
      </c>
      <c r="B10" s="148" t="s">
        <v>241</v>
      </c>
      <c r="C10" s="141">
        <v>2300000</v>
      </c>
    </row>
    <row r="11" spans="1:3" ht="19.5" customHeight="1" x14ac:dyDescent="0.2">
      <c r="A11" s="140">
        <v>10</v>
      </c>
      <c r="B11" s="148" t="s">
        <v>4</v>
      </c>
      <c r="C11" s="141">
        <v>1400000</v>
      </c>
    </row>
    <row r="12" spans="1:3" ht="19.5" customHeight="1" x14ac:dyDescent="0.2">
      <c r="A12" s="140">
        <v>11</v>
      </c>
      <c r="B12" s="148" t="s">
        <v>143</v>
      </c>
      <c r="C12" s="141">
        <v>1550000</v>
      </c>
    </row>
    <row r="13" spans="1:3" ht="19.5" customHeight="1" x14ac:dyDescent="0.2">
      <c r="A13" s="140">
        <v>12</v>
      </c>
      <c r="B13" s="148" t="s">
        <v>67</v>
      </c>
      <c r="C13" s="141">
        <v>1300000</v>
      </c>
    </row>
    <row r="14" spans="1:3" ht="19.5" customHeight="1" x14ac:dyDescent="0.2">
      <c r="A14" s="140">
        <v>13</v>
      </c>
      <c r="B14" s="148" t="s">
        <v>58</v>
      </c>
      <c r="C14" s="141">
        <v>1650000</v>
      </c>
    </row>
    <row r="15" spans="1:3" ht="19.5" customHeight="1" x14ac:dyDescent="0.2">
      <c r="A15" s="140">
        <v>14</v>
      </c>
      <c r="B15" s="148" t="s">
        <v>61</v>
      </c>
      <c r="C15" s="141">
        <v>1500000</v>
      </c>
    </row>
    <row r="16" spans="1:3" ht="19.5" customHeight="1" x14ac:dyDescent="0.2">
      <c r="A16" s="140">
        <v>15</v>
      </c>
      <c r="B16" s="148" t="s">
        <v>94</v>
      </c>
      <c r="C16" s="141">
        <v>1500000</v>
      </c>
    </row>
    <row r="17" spans="1:3" ht="19.5" customHeight="1" x14ac:dyDescent="0.2">
      <c r="A17" s="140">
        <v>16</v>
      </c>
      <c r="B17" s="148" t="s">
        <v>174</v>
      </c>
      <c r="C17" s="141">
        <v>1200000</v>
      </c>
    </row>
    <row r="18" spans="1:3" ht="19.5" customHeight="1" x14ac:dyDescent="0.2">
      <c r="A18" s="140">
        <v>17</v>
      </c>
      <c r="B18" s="148" t="s">
        <v>89</v>
      </c>
      <c r="C18" s="141">
        <v>1200000</v>
      </c>
    </row>
    <row r="19" spans="1:3" ht="19.5" customHeight="1" x14ac:dyDescent="0.2">
      <c r="A19" s="140">
        <v>18</v>
      </c>
      <c r="B19" s="148" t="s">
        <v>71</v>
      </c>
      <c r="C19" s="141">
        <v>1500000</v>
      </c>
    </row>
    <row r="20" spans="1:3" ht="19.5" customHeight="1" x14ac:dyDescent="0.2">
      <c r="A20" s="140">
        <v>19</v>
      </c>
      <c r="B20" s="148" t="s">
        <v>78</v>
      </c>
      <c r="C20" s="141">
        <v>1200000</v>
      </c>
    </row>
    <row r="21" spans="1:3" ht="19.5" customHeight="1" x14ac:dyDescent="0.2">
      <c r="A21" s="140">
        <v>20</v>
      </c>
      <c r="B21" s="148" t="s">
        <v>101</v>
      </c>
      <c r="C21" s="141">
        <v>1100000</v>
      </c>
    </row>
    <row r="22" spans="1:3" ht="19.5" customHeight="1" x14ac:dyDescent="0.2">
      <c r="A22" s="140">
        <v>21</v>
      </c>
      <c r="B22" s="148" t="s">
        <v>190</v>
      </c>
      <c r="C22" s="141">
        <v>1200000</v>
      </c>
    </row>
    <row r="23" spans="1:3" ht="19.5" customHeight="1" x14ac:dyDescent="0.2">
      <c r="A23" s="140">
        <v>22</v>
      </c>
      <c r="B23" s="148" t="s">
        <v>69</v>
      </c>
      <c r="C23" s="141">
        <v>1300000</v>
      </c>
    </row>
    <row r="24" spans="1:3" ht="19.5" customHeight="1" x14ac:dyDescent="0.2">
      <c r="A24" s="140">
        <v>23</v>
      </c>
      <c r="B24" s="148" t="s">
        <v>80</v>
      </c>
      <c r="C24" s="141">
        <v>1400000</v>
      </c>
    </row>
    <row r="25" spans="1:3" ht="19.5" customHeight="1" x14ac:dyDescent="0.2">
      <c r="A25" s="140">
        <v>24</v>
      </c>
      <c r="B25" s="148" t="s">
        <v>146</v>
      </c>
      <c r="C25" s="141">
        <v>1010000</v>
      </c>
    </row>
    <row r="26" spans="1:3" ht="19.5" customHeight="1" x14ac:dyDescent="0.2">
      <c r="A26" s="140">
        <v>25</v>
      </c>
      <c r="B26" s="148" t="s">
        <v>145</v>
      </c>
      <c r="C26" s="141">
        <v>1300000</v>
      </c>
    </row>
    <row r="27" spans="1:3" ht="19.5" customHeight="1" x14ac:dyDescent="0.2">
      <c r="A27" s="140">
        <v>26</v>
      </c>
      <c r="B27" s="148" t="s">
        <v>76</v>
      </c>
      <c r="C27" s="141">
        <v>1300000</v>
      </c>
    </row>
    <row r="28" spans="1:3" ht="19.5" customHeight="1" x14ac:dyDescent="0.2">
      <c r="A28" s="140">
        <v>27</v>
      </c>
      <c r="B28" s="148" t="s">
        <v>172</v>
      </c>
      <c r="C28" s="141">
        <v>950000</v>
      </c>
    </row>
    <row r="29" spans="1:3" ht="19.5" customHeight="1" x14ac:dyDescent="0.2">
      <c r="A29" s="140">
        <v>28</v>
      </c>
      <c r="B29" s="148" t="s">
        <v>38</v>
      </c>
      <c r="C29" s="141">
        <v>1400000</v>
      </c>
    </row>
    <row r="30" spans="1:3" ht="19.5" customHeight="1" x14ac:dyDescent="0.2">
      <c r="A30" s="140">
        <v>29</v>
      </c>
      <c r="B30" s="148" t="s">
        <v>59</v>
      </c>
      <c r="C30" s="141">
        <v>1200000</v>
      </c>
    </row>
    <row r="31" spans="1:3" ht="19.5" customHeight="1" x14ac:dyDescent="0.2">
      <c r="A31" s="140">
        <v>30</v>
      </c>
      <c r="B31" s="148" t="s">
        <v>114</v>
      </c>
      <c r="C31" s="141">
        <v>800000</v>
      </c>
    </row>
    <row r="32" spans="1:3" ht="19.5" customHeight="1" x14ac:dyDescent="0.2">
      <c r="A32" s="140">
        <v>31</v>
      </c>
      <c r="B32" s="148" t="s">
        <v>122</v>
      </c>
      <c r="C32" s="141">
        <v>850000</v>
      </c>
    </row>
    <row r="33" spans="1:3" ht="19.5" customHeight="1" x14ac:dyDescent="0.2">
      <c r="A33" s="140">
        <v>32</v>
      </c>
      <c r="B33" s="148" t="s">
        <v>191</v>
      </c>
      <c r="C33" s="141">
        <v>1300000</v>
      </c>
    </row>
    <row r="34" spans="1:3" ht="19.5" customHeight="1" x14ac:dyDescent="0.2">
      <c r="A34" s="140">
        <v>33</v>
      </c>
      <c r="B34" s="148" t="s">
        <v>217</v>
      </c>
      <c r="C34" s="141">
        <v>1200000</v>
      </c>
    </row>
    <row r="35" spans="1:3" ht="19.5" customHeight="1" x14ac:dyDescent="0.2">
      <c r="A35" s="140">
        <v>34</v>
      </c>
      <c r="B35" s="148" t="s">
        <v>218</v>
      </c>
      <c r="C35" s="141">
        <v>950000</v>
      </c>
    </row>
    <row r="36" spans="1:3" ht="19.5" customHeight="1" x14ac:dyDescent="0.2">
      <c r="A36" s="140">
        <v>35</v>
      </c>
      <c r="B36" s="148" t="s">
        <v>96</v>
      </c>
      <c r="C36" s="141">
        <v>850000</v>
      </c>
    </row>
    <row r="37" spans="1:3" ht="19.5" customHeight="1" x14ac:dyDescent="0.2">
      <c r="A37" s="140">
        <v>36</v>
      </c>
      <c r="B37" s="148" t="s">
        <v>3</v>
      </c>
      <c r="C37" s="141">
        <v>1300000</v>
      </c>
    </row>
    <row r="38" spans="1:3" ht="19.5" customHeight="1" x14ac:dyDescent="0.2">
      <c r="A38" s="140">
        <v>37</v>
      </c>
      <c r="B38" s="148" t="s">
        <v>39</v>
      </c>
      <c r="C38" s="141">
        <v>1000000</v>
      </c>
    </row>
    <row r="39" spans="1:3" ht="19.5" customHeight="1" x14ac:dyDescent="0.2">
      <c r="A39" s="140">
        <v>38</v>
      </c>
      <c r="B39" s="148" t="s">
        <v>5</v>
      </c>
      <c r="C39" s="141">
        <v>1000000</v>
      </c>
    </row>
    <row r="40" spans="1:3" ht="19.5" customHeight="1" x14ac:dyDescent="0.2">
      <c r="A40" s="140">
        <v>39</v>
      </c>
      <c r="B40" s="148" t="s">
        <v>85</v>
      </c>
      <c r="C40" s="141">
        <v>2000000</v>
      </c>
    </row>
    <row r="41" spans="1:3" ht="19.5" customHeight="1" x14ac:dyDescent="0.2">
      <c r="A41" s="140">
        <v>40</v>
      </c>
      <c r="B41" s="148" t="s">
        <v>103</v>
      </c>
      <c r="C41" s="141">
        <v>1030000</v>
      </c>
    </row>
    <row r="42" spans="1:3" ht="19.5" customHeight="1" x14ac:dyDescent="0.2">
      <c r="A42" s="140">
        <v>41</v>
      </c>
      <c r="B42" s="148" t="s">
        <v>100</v>
      </c>
      <c r="C42" s="141">
        <v>850000</v>
      </c>
    </row>
    <row r="43" spans="1:3" ht="19.5" customHeight="1" x14ac:dyDescent="0.2">
      <c r="A43" s="140">
        <v>42</v>
      </c>
      <c r="B43" s="148" t="s">
        <v>111</v>
      </c>
      <c r="C43" s="141">
        <v>950000</v>
      </c>
    </row>
    <row r="44" spans="1:3" ht="19.5" customHeight="1" x14ac:dyDescent="0.2">
      <c r="A44" s="140">
        <v>43</v>
      </c>
      <c r="B44" s="148" t="s">
        <v>1</v>
      </c>
      <c r="C44" s="141">
        <v>1100000</v>
      </c>
    </row>
    <row r="45" spans="1:3" ht="19.5" customHeight="1" x14ac:dyDescent="0.2">
      <c r="A45" s="140">
        <v>44</v>
      </c>
      <c r="B45" s="148" t="s">
        <v>92</v>
      </c>
      <c r="C45" s="141">
        <v>750000</v>
      </c>
    </row>
    <row r="46" spans="1:3" ht="19.5" customHeight="1" x14ac:dyDescent="0.2">
      <c r="A46" s="140">
        <v>45</v>
      </c>
      <c r="B46" s="148" t="s">
        <v>251</v>
      </c>
      <c r="C46" s="141">
        <v>950000</v>
      </c>
    </row>
    <row r="47" spans="1:3" ht="19.5" customHeight="1" x14ac:dyDescent="0.2">
      <c r="A47" s="140">
        <v>46</v>
      </c>
      <c r="B47" s="148" t="s">
        <v>109</v>
      </c>
      <c r="C47" s="141">
        <v>700000</v>
      </c>
    </row>
    <row r="48" spans="1:3" ht="19.5" customHeight="1" x14ac:dyDescent="0.2">
      <c r="A48" s="140">
        <v>47</v>
      </c>
      <c r="B48" s="148" t="s">
        <v>116</v>
      </c>
      <c r="C48" s="141">
        <v>700000</v>
      </c>
    </row>
    <row r="49" spans="1:3" ht="19.5" customHeight="1" x14ac:dyDescent="0.2">
      <c r="A49" s="140">
        <v>48</v>
      </c>
      <c r="B49" s="148" t="s">
        <v>240</v>
      </c>
      <c r="C49" s="141">
        <v>850000</v>
      </c>
    </row>
    <row r="50" spans="1:3" ht="19.5" customHeight="1" x14ac:dyDescent="0.2">
      <c r="A50" s="140">
        <v>49</v>
      </c>
      <c r="B50" s="148" t="s">
        <v>238</v>
      </c>
      <c r="C50" s="141">
        <v>700000</v>
      </c>
    </row>
    <row r="51" spans="1:3" ht="19.5" customHeight="1" x14ac:dyDescent="0.2">
      <c r="A51" s="140">
        <v>50</v>
      </c>
      <c r="B51" s="148" t="s">
        <v>144</v>
      </c>
      <c r="C51" s="141">
        <v>700000</v>
      </c>
    </row>
    <row r="52" spans="1:3" ht="19.5" customHeight="1" x14ac:dyDescent="0.2">
      <c r="A52" s="140">
        <v>51</v>
      </c>
      <c r="B52" s="148" t="s">
        <v>51</v>
      </c>
      <c r="C52" s="141">
        <v>700000</v>
      </c>
    </row>
    <row r="53" spans="1:3" ht="19.5" customHeight="1" x14ac:dyDescent="0.2">
      <c r="A53" s="140">
        <v>52</v>
      </c>
      <c r="B53" s="148" t="s">
        <v>127</v>
      </c>
      <c r="C53" s="141">
        <v>550000</v>
      </c>
    </row>
    <row r="54" spans="1:3" ht="19.5" customHeight="1" x14ac:dyDescent="0.2">
      <c r="A54" s="140">
        <v>53</v>
      </c>
      <c r="B54" s="149" t="s">
        <v>201</v>
      </c>
      <c r="C54" s="141">
        <v>650000</v>
      </c>
    </row>
    <row r="55" spans="1:3" ht="19.5" customHeight="1" x14ac:dyDescent="0.2">
      <c r="A55" s="140">
        <v>54</v>
      </c>
      <c r="B55" s="148" t="s">
        <v>105</v>
      </c>
      <c r="C55" s="141">
        <v>950000</v>
      </c>
    </row>
    <row r="56" spans="1:3" ht="19.5" customHeight="1" x14ac:dyDescent="0.2">
      <c r="A56" s="140">
        <v>55</v>
      </c>
      <c r="B56" s="148" t="s">
        <v>87</v>
      </c>
      <c r="C56" s="141">
        <v>550000</v>
      </c>
    </row>
    <row r="57" spans="1:3" ht="19.5" customHeight="1" x14ac:dyDescent="0.2">
      <c r="A57" s="140">
        <v>56</v>
      </c>
      <c r="B57" s="148" t="s">
        <v>40</v>
      </c>
      <c r="C57" s="141">
        <v>800000</v>
      </c>
    </row>
    <row r="58" spans="1:3" ht="19.5" customHeight="1" x14ac:dyDescent="0.2">
      <c r="A58" s="140">
        <v>57</v>
      </c>
      <c r="B58" s="148" t="s">
        <v>98</v>
      </c>
      <c r="C58" s="141">
        <v>750000</v>
      </c>
    </row>
    <row r="59" spans="1:3" ht="19.5" customHeight="1" x14ac:dyDescent="0.2">
      <c r="A59" s="140">
        <v>58</v>
      </c>
      <c r="B59" s="148" t="s">
        <v>107</v>
      </c>
      <c r="C59" s="141">
        <v>750000</v>
      </c>
    </row>
    <row r="60" spans="1:3" ht="19.5" customHeight="1" x14ac:dyDescent="0.2">
      <c r="A60" s="140">
        <v>59</v>
      </c>
      <c r="B60" s="148" t="s">
        <v>73</v>
      </c>
      <c r="C60" s="141">
        <v>750000</v>
      </c>
    </row>
    <row r="61" spans="1:3" ht="19.5" customHeight="1" x14ac:dyDescent="0.2">
      <c r="A61" s="140">
        <v>60</v>
      </c>
      <c r="B61" s="148" t="s">
        <v>202</v>
      </c>
      <c r="C61" s="141">
        <v>550000</v>
      </c>
    </row>
    <row r="62" spans="1:3" ht="19.5" customHeight="1" x14ac:dyDescent="0.2">
      <c r="A62" s="140">
        <v>61</v>
      </c>
      <c r="B62" s="148" t="s">
        <v>129</v>
      </c>
      <c r="C62" s="141">
        <v>600000</v>
      </c>
    </row>
    <row r="63" spans="1:3" ht="19.5" customHeight="1" x14ac:dyDescent="0.2">
      <c r="A63" s="140">
        <v>62</v>
      </c>
      <c r="B63" s="148" t="s">
        <v>153</v>
      </c>
      <c r="C63" s="141">
        <v>450000</v>
      </c>
    </row>
    <row r="64" spans="1:3" ht="19.5" customHeight="1" x14ac:dyDescent="0.2">
      <c r="A64" s="140">
        <v>63</v>
      </c>
      <c r="B64" s="148" t="s">
        <v>167</v>
      </c>
      <c r="C64" s="141">
        <v>500000</v>
      </c>
    </row>
    <row r="65" spans="1:3" ht="19.5" customHeight="1" x14ac:dyDescent="0.2">
      <c r="A65" s="140">
        <v>64</v>
      </c>
      <c r="B65" s="148" t="s">
        <v>125</v>
      </c>
      <c r="C65" s="141">
        <v>550000</v>
      </c>
    </row>
    <row r="66" spans="1:3" ht="19.5" customHeight="1" x14ac:dyDescent="0.2">
      <c r="A66" s="140">
        <v>65</v>
      </c>
      <c r="B66" s="148" t="s">
        <v>132</v>
      </c>
      <c r="C66" s="141">
        <v>460000</v>
      </c>
    </row>
    <row r="67" spans="1:3" ht="19" customHeight="1" x14ac:dyDescent="0.2">
      <c r="A67" s="140">
        <v>66</v>
      </c>
      <c r="B67" s="148" t="s">
        <v>119</v>
      </c>
      <c r="C67" s="141">
        <v>650000</v>
      </c>
    </row>
    <row r="68" spans="1:3" ht="15.75" customHeight="1" x14ac:dyDescent="0.2">
      <c r="A68" s="140">
        <v>67</v>
      </c>
      <c r="B68" s="148" t="s">
        <v>186</v>
      </c>
      <c r="C68" s="141">
        <v>650000</v>
      </c>
    </row>
    <row r="69" spans="1:3" ht="15.75" customHeight="1" x14ac:dyDescent="0.2">
      <c r="A69" s="140">
        <v>68</v>
      </c>
      <c r="B69" s="148" t="s">
        <v>254</v>
      </c>
      <c r="C69" s="141">
        <v>900000</v>
      </c>
    </row>
    <row r="70" spans="1:3" ht="15.75" customHeight="1" x14ac:dyDescent="0.2">
      <c r="A70" s="140">
        <v>69</v>
      </c>
      <c r="B70" s="148" t="s">
        <v>253</v>
      </c>
      <c r="C70" s="141">
        <v>550000</v>
      </c>
    </row>
    <row r="71" spans="1:3" ht="15.75" customHeight="1" x14ac:dyDescent="0.2">
      <c r="A71" s="140">
        <v>70</v>
      </c>
      <c r="B71" s="148" t="s">
        <v>195</v>
      </c>
      <c r="C71" s="141">
        <v>550000</v>
      </c>
    </row>
    <row r="72" spans="1:3" ht="15.75" customHeight="1" x14ac:dyDescent="0.2">
      <c r="A72" s="140">
        <v>71</v>
      </c>
      <c r="B72" s="150" t="s">
        <v>239</v>
      </c>
      <c r="C72" s="141">
        <v>500000</v>
      </c>
    </row>
    <row r="73" spans="1:3" ht="15.75" customHeight="1" x14ac:dyDescent="0.2">
      <c r="A73" s="140">
        <v>72</v>
      </c>
      <c r="B73" s="148" t="s">
        <v>235</v>
      </c>
      <c r="C73" s="141">
        <v>500000</v>
      </c>
    </row>
    <row r="74" spans="1:3" ht="15.75" customHeight="1" x14ac:dyDescent="0.2">
      <c r="A74" s="140">
        <v>73</v>
      </c>
      <c r="B74" s="148" t="s">
        <v>267</v>
      </c>
      <c r="C74" s="141">
        <v>800000</v>
      </c>
    </row>
    <row r="75" spans="1:3" ht="15.75" customHeight="1" x14ac:dyDescent="0.2">
      <c r="A75" s="140">
        <v>74</v>
      </c>
      <c r="B75" s="148" t="s">
        <v>242</v>
      </c>
      <c r="C75" s="141">
        <v>500000</v>
      </c>
    </row>
    <row r="76" spans="1:3" ht="15.75" customHeight="1" x14ac:dyDescent="0.2">
      <c r="A76" s="140">
        <v>75</v>
      </c>
      <c r="B76" s="148" t="s">
        <v>266</v>
      </c>
      <c r="C76" s="141">
        <v>900000</v>
      </c>
    </row>
    <row r="77" spans="1:3" ht="15.75" customHeight="1" x14ac:dyDescent="0.2">
      <c r="A77" s="140">
        <v>76</v>
      </c>
      <c r="B77" s="148" t="s">
        <v>36</v>
      </c>
      <c r="C77" s="141">
        <v>600000</v>
      </c>
    </row>
    <row r="78" spans="1:3" ht="15.75" customHeight="1" x14ac:dyDescent="0.2">
      <c r="A78" s="140">
        <v>77</v>
      </c>
      <c r="B78" s="148" t="s">
        <v>37</v>
      </c>
      <c r="C78" s="141">
        <v>650000</v>
      </c>
    </row>
    <row r="79" spans="1:3" ht="15.75" customHeight="1" x14ac:dyDescent="0.2">
      <c r="A79" s="140">
        <v>78</v>
      </c>
      <c r="B79" s="148" t="s">
        <v>203</v>
      </c>
      <c r="C79" s="141">
        <v>400000</v>
      </c>
    </row>
    <row r="80" spans="1:3" ht="15.75" customHeight="1" x14ac:dyDescent="0.2">
      <c r="A80" s="140">
        <v>79</v>
      </c>
      <c r="B80" s="148" t="s">
        <v>6</v>
      </c>
      <c r="C80" s="141">
        <v>300000</v>
      </c>
    </row>
    <row r="81" spans="1:3" ht="15.75" customHeight="1" x14ac:dyDescent="0.2">
      <c r="A81" s="140">
        <v>80</v>
      </c>
      <c r="B81" s="148" t="s">
        <v>7</v>
      </c>
      <c r="C81" s="141">
        <v>300000</v>
      </c>
    </row>
    <row r="82" spans="1:3" ht="15.75" customHeight="1" x14ac:dyDescent="0.15"/>
    <row r="83" spans="1:3" ht="15.75" customHeight="1" x14ac:dyDescent="0.15"/>
    <row r="84" spans="1:3" ht="15.75" customHeight="1" x14ac:dyDescent="0.15"/>
    <row r="85" spans="1:3" ht="15.75" customHeight="1" x14ac:dyDescent="0.15"/>
    <row r="86" spans="1:3" ht="15.75" customHeight="1" x14ac:dyDescent="0.15"/>
    <row r="87" spans="1:3" ht="15.75" customHeight="1" x14ac:dyDescent="0.15"/>
    <row r="88" spans="1:3" ht="15.75" customHeight="1" x14ac:dyDescent="0.15"/>
    <row r="89" spans="1:3" ht="15.75" customHeight="1" x14ac:dyDescent="0.15"/>
    <row r="90" spans="1:3" ht="15.75" customHeight="1" x14ac:dyDescent="0.15"/>
    <row r="91" spans="1:3" ht="15.75" customHeight="1" x14ac:dyDescent="0.15"/>
    <row r="92" spans="1:3" ht="15.75" customHeight="1" x14ac:dyDescent="0.15"/>
    <row r="93" spans="1:3" ht="15.75" customHeight="1" x14ac:dyDescent="0.15"/>
    <row r="94" spans="1:3" ht="15.75" customHeight="1" x14ac:dyDescent="0.15"/>
    <row r="95" spans="1:3" ht="15.75" customHeight="1" x14ac:dyDescent="0.15"/>
    <row r="96" spans="1:3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5</vt:i4>
      </vt:variant>
    </vt:vector>
  </HeadingPairs>
  <TitlesOfParts>
    <vt:vector size="5" baseType="lpstr">
      <vt:lpstr>ยอดขายปีที่แล้ว</vt:lpstr>
      <vt:lpstr>ยอดขายเดือนที่เแล้ว</vt:lpstr>
      <vt:lpstr>ยอดขายปัจจุบัน</vt:lpstr>
      <vt:lpstr>Report</vt:lpstr>
      <vt:lpstr>Target ปี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Area Manager</dc:creator>
  <cp:lastModifiedBy>BEN Area manager</cp:lastModifiedBy>
  <dcterms:created xsi:type="dcterms:W3CDTF">2024-02-28T08:07:27Z</dcterms:created>
  <dcterms:modified xsi:type="dcterms:W3CDTF">2026-04-10T08:22:16Z</dcterms:modified>
</cp:coreProperties>
</file>