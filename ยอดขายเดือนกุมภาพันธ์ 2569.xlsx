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/Users/appleclub/Documents/ข้อมูลยอดขาย/Weekly/ยอดขาย/&gt;&gt;&gt;2026/ยอดขาย 2026/02-2026/01-28/"/>
    </mc:Choice>
  </mc:AlternateContent>
  <xr:revisionPtr revIDLastSave="0" documentId="13_ncr:1_{BFB7E9B4-7C87-B341-9A35-23C3C1ADEA13}" xr6:coauthVersionLast="47" xr6:coauthVersionMax="47" xr10:uidLastSave="{00000000-0000-0000-0000-000000000000}"/>
  <bookViews>
    <workbookView xWindow="0" yWindow="600" windowWidth="25600" windowHeight="14260" firstSheet="1" activeTab="2" xr2:uid="{8931555F-816B-F84D-885D-4269E85FD78A}"/>
  </bookViews>
  <sheets>
    <sheet name="ยอดขายปีที่แล้ว" sheetId="31" r:id="rId1"/>
    <sheet name="ยอดขายเดือนที่เแล้ว" sheetId="34" r:id="rId2"/>
    <sheet name="ยอดขายปัจจุบัน" sheetId="3" r:id="rId3"/>
    <sheet name="year" sheetId="67" r:id="rId4"/>
    <sheet name="Performance" sheetId="44" r:id="rId5"/>
    <sheet name="Report" sheetId="1" r:id="rId6"/>
    <sheet name="ALL SHOP" sheetId="70" r:id="rId7"/>
    <sheet name="Survay Member " sheetId="17" r:id="rId8"/>
    <sheet name="STK-เดือน." sheetId="51" r:id="rId9"/>
    <sheet name="Week day&amp;Week end" sheetId="50" r:id="rId10"/>
    <sheet name="MANPOWER" sheetId="30" r:id="rId11"/>
    <sheet name="STK UPDATE" sheetId="54" r:id="rId12"/>
    <sheet name="งานประจำสัปดาห์" sheetId="16" r:id="rId13"/>
    <sheet name="Target ปี 2026" sheetId="56" r:id="rId14"/>
    <sheet name="Group Area" sheetId="58" r:id="rId15"/>
    <sheet name="สาขา" sheetId="66" r:id="rId16"/>
  </sheets>
  <externalReferences>
    <externalReference r:id="rId17"/>
  </externalReferences>
  <definedNames>
    <definedName name="_xlnm._FilterDatabase" localSheetId="2" hidden="1">ยอดขายปัจจุบัน!$A$2:$E$52</definedName>
    <definedName name="_xlnm._FilterDatabase" localSheetId="5" hidden="1">Report!$C$43:$D$56</definedName>
    <definedName name="_xlnm.Print_Area" localSheetId="15">สาขา!$A$1:$B$14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G21" i="3" a="1"/>
  <c r="G21" i="3" s="1"/>
  <c r="G20" i="3" a="1"/>
  <c r="G19" i="3" a="1"/>
  <c r="G18" i="3" a="1"/>
  <c r="G17" i="3" a="1"/>
  <c r="G16" i="3" a="1"/>
  <c r="G15" i="3" a="1"/>
  <c r="G14" i="3" a="1"/>
  <c r="G13" i="3" a="1"/>
  <c r="G12" i="3" a="1"/>
  <c r="G11" i="3" a="1"/>
  <c r="G10" i="3" a="1"/>
  <c r="G9" i="3" a="1"/>
  <c r="G8" i="3" a="1"/>
  <c r="G7" i="3" a="1"/>
  <c r="G6" i="3" a="1"/>
  <c r="G5" i="3" a="1"/>
  <c r="G4" i="3" a="1"/>
  <c r="AD21" i="50"/>
  <c r="AB21" i="50"/>
  <c r="G10" i="17"/>
  <c r="G5" i="17"/>
  <c r="F20" i="51"/>
  <c r="D5" i="51"/>
  <c r="D6" i="51"/>
  <c r="D7" i="51"/>
  <c r="D8" i="51"/>
  <c r="D9" i="51"/>
  <c r="D10" i="51"/>
  <c r="D11" i="51"/>
  <c r="D12" i="51"/>
  <c r="D13" i="51"/>
  <c r="D14" i="51"/>
  <c r="D15" i="51"/>
  <c r="H15" i="51" s="1"/>
  <c r="D16" i="51"/>
  <c r="H16" i="51" s="1"/>
  <c r="D17" i="51"/>
  <c r="H17" i="51" s="1"/>
  <c r="D18" i="51"/>
  <c r="H18" i="51" s="1"/>
  <c r="D19" i="51"/>
  <c r="D4" i="51"/>
  <c r="F19" i="44"/>
  <c r="H21" i="1"/>
  <c r="H20" i="1"/>
  <c r="AO4" i="1"/>
  <c r="AP4" i="1"/>
  <c r="AO5" i="1"/>
  <c r="AP5" i="1"/>
  <c r="AO6" i="1"/>
  <c r="AP6" i="1"/>
  <c r="AO7" i="1"/>
  <c r="AP7" i="1"/>
  <c r="AO8" i="1"/>
  <c r="AP8" i="1"/>
  <c r="AO9" i="1"/>
  <c r="AP9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P3" i="1"/>
  <c r="AO3" i="1"/>
  <c r="E36" i="1"/>
  <c r="H5" i="51"/>
  <c r="H6" i="51"/>
  <c r="H7" i="51"/>
  <c r="H8" i="51"/>
  <c r="H9" i="51"/>
  <c r="H10" i="51"/>
  <c r="H11" i="51"/>
  <c r="H12" i="51"/>
  <c r="H13" i="51"/>
  <c r="H14" i="51"/>
  <c r="I20" i="3" l="1"/>
  <c r="G20" i="3"/>
  <c r="G19" i="3"/>
  <c r="I19" i="3"/>
  <c r="G18" i="3"/>
  <c r="I18" i="3"/>
  <c r="I17" i="3"/>
  <c r="G17" i="3"/>
  <c r="G16" i="3"/>
  <c r="I16" i="3"/>
  <c r="G15" i="3"/>
  <c r="I15" i="3"/>
  <c r="I14" i="3"/>
  <c r="G14" i="3"/>
  <c r="G13" i="3"/>
  <c r="I13" i="3"/>
  <c r="G12" i="3"/>
  <c r="I12" i="3"/>
  <c r="I11" i="3"/>
  <c r="G11" i="3"/>
  <c r="I10" i="3"/>
  <c r="G10" i="3"/>
  <c r="G9" i="3"/>
  <c r="I9" i="3"/>
  <c r="G8" i="3"/>
  <c r="I8" i="3"/>
  <c r="I7" i="3"/>
  <c r="G7" i="3"/>
  <c r="G6" i="3"/>
  <c r="I6" i="3"/>
  <c r="G5" i="3"/>
  <c r="I5" i="3"/>
  <c r="G4" i="3"/>
  <c r="I4" i="3"/>
  <c r="AB18" i="50"/>
  <c r="AC18" i="50"/>
  <c r="AD18" i="50"/>
  <c r="AE18" i="50"/>
  <c r="AB19" i="50"/>
  <c r="AC19" i="50"/>
  <c r="AD19" i="50"/>
  <c r="AE19" i="50"/>
  <c r="AE19" i="1" l="1"/>
  <c r="AF19" i="1" s="1"/>
  <c r="G5" i="51" l="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4" i="51"/>
  <c r="AS12" i="1" l="1"/>
  <c r="AS13" i="1"/>
  <c r="AS14" i="1"/>
  <c r="AS15" i="1"/>
  <c r="AS16" i="1"/>
  <c r="AS17" i="1"/>
  <c r="AS18" i="1"/>
  <c r="AS19" i="1"/>
  <c r="AS11" i="1"/>
  <c r="AS4" i="1"/>
  <c r="AS5" i="1"/>
  <c r="AS6" i="1"/>
  <c r="AS7" i="1"/>
  <c r="AS8" i="1"/>
  <c r="AS9" i="1"/>
  <c r="AS3" i="1"/>
  <c r="H19" i="51"/>
  <c r="I19" i="51" s="1"/>
  <c r="Z15" i="1"/>
  <c r="Z16" i="1"/>
  <c r="Z17" i="1"/>
  <c r="AA17" i="1" s="1"/>
  <c r="Z18" i="1"/>
  <c r="AA18" i="1" s="1"/>
  <c r="Z19" i="1"/>
  <c r="AA19" i="1" s="1"/>
  <c r="AK20" i="1"/>
  <c r="AK21" i="1"/>
  <c r="AJ21" i="1"/>
  <c r="AJ20" i="1"/>
  <c r="C12" i="1"/>
  <c r="E12" i="1"/>
  <c r="G12" i="1"/>
  <c r="F13" i="17" s="1"/>
  <c r="G13" i="17" s="1"/>
  <c r="Z12" i="1"/>
  <c r="AA12" i="1" s="1"/>
  <c r="AE12" i="1"/>
  <c r="AF12" i="1" s="1"/>
  <c r="AE13" i="1"/>
  <c r="AF13" i="1" s="1"/>
  <c r="C13" i="1"/>
  <c r="E13" i="1"/>
  <c r="G13" i="1"/>
  <c r="F14" i="17" s="1"/>
  <c r="G14" i="17" s="1"/>
  <c r="Z13" i="1"/>
  <c r="AA13" i="1" s="1"/>
  <c r="H5" i="30"/>
  <c r="H6" i="30"/>
  <c r="H8" i="30"/>
  <c r="H9" i="30"/>
  <c r="H10" i="30"/>
  <c r="H11" i="30"/>
  <c r="H12" i="30"/>
  <c r="H13" i="30"/>
  <c r="H14" i="30"/>
  <c r="H17" i="30"/>
  <c r="H18" i="30"/>
  <c r="F20" i="30"/>
  <c r="I20" i="30"/>
  <c r="G20" i="30"/>
  <c r="W20" i="50"/>
  <c r="X20" i="50"/>
  <c r="Y20" i="50"/>
  <c r="Z20" i="50"/>
  <c r="AA20" i="50"/>
  <c r="E20" i="50"/>
  <c r="F20" i="50"/>
  <c r="G20" i="50"/>
  <c r="H20" i="50"/>
  <c r="I20" i="50"/>
  <c r="J20" i="50"/>
  <c r="K20" i="50"/>
  <c r="L20" i="50"/>
  <c r="M20" i="50"/>
  <c r="N20" i="50"/>
  <c r="O20" i="50"/>
  <c r="P20" i="50"/>
  <c r="Q20" i="50"/>
  <c r="R20" i="50"/>
  <c r="S20" i="50"/>
  <c r="T20" i="50"/>
  <c r="U20" i="50"/>
  <c r="V20" i="50"/>
  <c r="D20" i="50"/>
  <c r="E20" i="51"/>
  <c r="G20" i="51"/>
  <c r="AE17" i="1"/>
  <c r="AF17" i="1" s="1"/>
  <c r="AE18" i="1"/>
  <c r="AF18" i="1" s="1"/>
  <c r="G17" i="1"/>
  <c r="F18" i="17" s="1"/>
  <c r="G18" i="17" s="1"/>
  <c r="G18" i="1"/>
  <c r="F19" i="17" s="1"/>
  <c r="G19" i="17" s="1"/>
  <c r="G19" i="1"/>
  <c r="E17" i="1"/>
  <c r="E18" i="1"/>
  <c r="E19" i="1"/>
  <c r="C17" i="1"/>
  <c r="C18" i="1"/>
  <c r="C19" i="1"/>
  <c r="D12" i="1" l="1"/>
  <c r="C52" i="1"/>
  <c r="B19" i="1"/>
  <c r="C59" i="1"/>
  <c r="B18" i="1"/>
  <c r="C58" i="1"/>
  <c r="D13" i="1"/>
  <c r="C53" i="1"/>
  <c r="B13" i="1"/>
  <c r="B17" i="1"/>
  <c r="C57" i="1"/>
  <c r="B12" i="1"/>
  <c r="F13" i="1"/>
  <c r="V13" i="1" s="1"/>
  <c r="D53" i="1"/>
  <c r="F18" i="1"/>
  <c r="D58" i="1"/>
  <c r="Y17" i="1"/>
  <c r="D57" i="1"/>
  <c r="Y19" i="1"/>
  <c r="D59" i="1"/>
  <c r="Q12" i="1"/>
  <c r="R12" i="1" s="1"/>
  <c r="S12" i="1" s="1"/>
  <c r="D52" i="1"/>
  <c r="AT13" i="1"/>
  <c r="AT12" i="1"/>
  <c r="AT19" i="1"/>
  <c r="AT18" i="1"/>
  <c r="AT17" i="1"/>
  <c r="H12" i="1"/>
  <c r="J12" i="1" s="1"/>
  <c r="Y12" i="1"/>
  <c r="F20" i="17"/>
  <c r="H20" i="17" s="1"/>
  <c r="F12" i="1"/>
  <c r="H13" i="1"/>
  <c r="J13" i="1" s="1"/>
  <c r="Y13" i="1"/>
  <c r="Q13" i="1"/>
  <c r="R13" i="1" s="1"/>
  <c r="S13" i="1" s="1"/>
  <c r="H18" i="1"/>
  <c r="J18" i="1" s="1"/>
  <c r="D19" i="1"/>
  <c r="D18" i="1"/>
  <c r="D17" i="1"/>
  <c r="H17" i="1"/>
  <c r="J17" i="1" s="1"/>
  <c r="Y18" i="1"/>
  <c r="J19" i="17"/>
  <c r="Q18" i="1"/>
  <c r="R18" i="1" s="1"/>
  <c r="S18" i="1" s="1"/>
  <c r="F17" i="1"/>
  <c r="Q19" i="1"/>
  <c r="R19" i="1" s="1"/>
  <c r="S19" i="1" s="1"/>
  <c r="Q17" i="1"/>
  <c r="R17" i="1" s="1"/>
  <c r="S17" i="1" s="1"/>
  <c r="H19" i="1"/>
  <c r="J19" i="1" s="1"/>
  <c r="F19" i="1"/>
  <c r="AB19" i="1" s="1"/>
  <c r="D20" i="51"/>
  <c r="H20" i="30"/>
  <c r="T18" i="1" l="1"/>
  <c r="V18" i="1"/>
  <c r="N18" i="1"/>
  <c r="N13" i="1"/>
  <c r="AB18" i="1"/>
  <c r="AU18" i="1"/>
  <c r="AV18" i="1" s="1"/>
  <c r="AY18" i="1" s="1"/>
  <c r="L18" i="1"/>
  <c r="AG13" i="1"/>
  <c r="AH13" i="1" s="1"/>
  <c r="L13" i="1"/>
  <c r="AU17" i="1"/>
  <c r="AV17" i="1" s="1"/>
  <c r="AY17" i="1" s="1"/>
  <c r="L17" i="1"/>
  <c r="T13" i="1"/>
  <c r="AB13" i="1"/>
  <c r="AD13" i="1" s="1"/>
  <c r="AU19" i="1"/>
  <c r="AV19" i="1" s="1"/>
  <c r="AY19" i="1" s="1"/>
  <c r="L19" i="1"/>
  <c r="AU12" i="1"/>
  <c r="AV12" i="1" s="1"/>
  <c r="AY12" i="1" s="1"/>
  <c r="L12" i="1"/>
  <c r="AU13" i="1"/>
  <c r="AV13" i="1" s="1"/>
  <c r="AY13" i="1" s="1"/>
  <c r="AG18" i="1"/>
  <c r="J20" i="17"/>
  <c r="L20" i="17" s="1"/>
  <c r="V12" i="1"/>
  <c r="T12" i="1"/>
  <c r="N12" i="1"/>
  <c r="G20" i="17"/>
  <c r="AB12" i="1"/>
  <c r="AG12" i="1"/>
  <c r="AB17" i="1"/>
  <c r="N17" i="1"/>
  <c r="AG17" i="1"/>
  <c r="AH17" i="1" s="1"/>
  <c r="T17" i="1"/>
  <c r="V17" i="1"/>
  <c r="N19" i="1"/>
  <c r="T19" i="1"/>
  <c r="V19" i="1"/>
  <c r="AG19" i="1"/>
  <c r="AH19" i="1" s="1"/>
  <c r="J18" i="17"/>
  <c r="K19" i="17"/>
  <c r="L19" i="17"/>
  <c r="C3" i="1"/>
  <c r="C4" i="1"/>
  <c r="C5" i="1"/>
  <c r="C6" i="1"/>
  <c r="C7" i="1"/>
  <c r="C8" i="1"/>
  <c r="C9" i="1"/>
  <c r="C11" i="1"/>
  <c r="C14" i="1"/>
  <c r="C15" i="1"/>
  <c r="C16" i="1"/>
  <c r="AD18" i="1" l="1"/>
  <c r="AC18" i="1"/>
  <c r="AH18" i="1"/>
  <c r="AI18" i="1"/>
  <c r="C44" i="1"/>
  <c r="C21" i="1"/>
  <c r="C20" i="1"/>
  <c r="AW18" i="1"/>
  <c r="AX18" i="1" s="1"/>
  <c r="AC13" i="1"/>
  <c r="AI13" i="1"/>
  <c r="AT7" i="1"/>
  <c r="C48" i="1"/>
  <c r="AT16" i="1"/>
  <c r="C56" i="1"/>
  <c r="AT4" i="1"/>
  <c r="C45" i="1"/>
  <c r="AT14" i="1"/>
  <c r="C54" i="1"/>
  <c r="AT9" i="1"/>
  <c r="C50" i="1"/>
  <c r="AT15" i="1"/>
  <c r="C55" i="1"/>
  <c r="AT8" i="1"/>
  <c r="C49" i="1"/>
  <c r="K20" i="17"/>
  <c r="AT11" i="1"/>
  <c r="C51" i="1"/>
  <c r="AT6" i="1"/>
  <c r="C47" i="1"/>
  <c r="C18" i="30" s="1"/>
  <c r="AT5" i="1"/>
  <c r="C46" i="1"/>
  <c r="C19" i="30" s="1"/>
  <c r="AZ19" i="1"/>
  <c r="BA19" i="1" s="1"/>
  <c r="AT3" i="1"/>
  <c r="AW17" i="1"/>
  <c r="AX17" i="1" s="1"/>
  <c r="AW12" i="1"/>
  <c r="AX12" i="1" s="1"/>
  <c r="AW13" i="1"/>
  <c r="AX13" i="1" s="1"/>
  <c r="AZ13" i="1"/>
  <c r="BA13" i="1" s="1"/>
  <c r="AZ17" i="1"/>
  <c r="BA17" i="1" s="1"/>
  <c r="AZ12" i="1"/>
  <c r="BA12" i="1" s="1"/>
  <c r="AW19" i="1"/>
  <c r="AX19" i="1" s="1"/>
  <c r="AZ18" i="1"/>
  <c r="BA18" i="1" s="1"/>
  <c r="AI19" i="1"/>
  <c r="AI12" i="1"/>
  <c r="AH12" i="1"/>
  <c r="AI17" i="1"/>
  <c r="K13" i="1"/>
  <c r="K12" i="1"/>
  <c r="P12" i="1"/>
  <c r="O12" i="1"/>
  <c r="W12" i="1"/>
  <c r="U12" i="1"/>
  <c r="AD12" i="1"/>
  <c r="AC12" i="1"/>
  <c r="P13" i="1"/>
  <c r="O13" i="1"/>
  <c r="W13" i="1"/>
  <c r="U13" i="1"/>
  <c r="U19" i="1"/>
  <c r="U17" i="1"/>
  <c r="K17" i="1"/>
  <c r="K18" i="1"/>
  <c r="K19" i="1"/>
  <c r="P18" i="1"/>
  <c r="O18" i="1"/>
  <c r="B16" i="1"/>
  <c r="W17" i="1"/>
  <c r="W18" i="1"/>
  <c r="W19" i="1"/>
  <c r="U18" i="1"/>
  <c r="P19" i="1"/>
  <c r="O19" i="1"/>
  <c r="O17" i="1"/>
  <c r="P17" i="1"/>
  <c r="AD19" i="1"/>
  <c r="AC19" i="1"/>
  <c r="AC17" i="1"/>
  <c r="AD17" i="1"/>
  <c r="C14" i="30" l="1"/>
  <c r="C9" i="30"/>
  <c r="C13" i="30"/>
  <c r="C16" i="30"/>
  <c r="C5" i="30"/>
  <c r="C15" i="30"/>
  <c r="C17" i="30"/>
  <c r="C12" i="30"/>
  <c r="C6" i="30"/>
  <c r="C10" i="30"/>
  <c r="C7" i="30"/>
  <c r="C8" i="30"/>
  <c r="C11" i="30"/>
  <c r="C4" i="30"/>
  <c r="C20" i="50"/>
  <c r="B20" i="50"/>
  <c r="I18" i="51" l="1"/>
  <c r="D11" i="44"/>
  <c r="AA16" i="1" l="1"/>
  <c r="AE16" i="1"/>
  <c r="AF16" i="1" s="1"/>
  <c r="E16" i="1"/>
  <c r="D56" i="1" s="1"/>
  <c r="G16" i="1"/>
  <c r="F17" i="17" s="1"/>
  <c r="G17" i="17" s="1"/>
  <c r="J17" i="17" l="1"/>
  <c r="H16" i="1"/>
  <c r="J16" i="1" s="1"/>
  <c r="Q16" i="1"/>
  <c r="R16" i="1" s="1"/>
  <c r="S16" i="1" s="1"/>
  <c r="D16" i="1"/>
  <c r="F16" i="1"/>
  <c r="AU16" i="1" l="1"/>
  <c r="AV16" i="1" s="1"/>
  <c r="L16" i="1"/>
  <c r="T16" i="1"/>
  <c r="V16" i="1"/>
  <c r="N16" i="1"/>
  <c r="AB16" i="1"/>
  <c r="AD16" i="1" s="1"/>
  <c r="AG16" i="1"/>
  <c r="AH16" i="1" s="1"/>
  <c r="B8" i="70"/>
  <c r="AY16" i="1" l="1"/>
  <c r="AZ16" i="1" s="1"/>
  <c r="BA16" i="1" s="1"/>
  <c r="AW16" i="1"/>
  <c r="AX16" i="1" s="1"/>
  <c r="AI16" i="1"/>
  <c r="AC16" i="1"/>
  <c r="L7" i="70" l="1"/>
  <c r="L6" i="70"/>
  <c r="L5" i="70"/>
  <c r="L4" i="70"/>
  <c r="L3" i="70"/>
  <c r="B4" i="70"/>
  <c r="B5" i="70"/>
  <c r="B6" i="70"/>
  <c r="B7" i="70"/>
  <c r="B9" i="70"/>
  <c r="B10" i="70"/>
  <c r="B11" i="70"/>
  <c r="B12" i="70"/>
  <c r="B13" i="70"/>
  <c r="B14" i="70"/>
  <c r="B15" i="70"/>
  <c r="B16" i="70"/>
  <c r="B20" i="70"/>
  <c r="B21" i="70"/>
  <c r="B22" i="70"/>
  <c r="B23" i="70"/>
  <c r="B24" i="70"/>
  <c r="B25" i="70"/>
  <c r="B26" i="70"/>
  <c r="B27" i="70"/>
  <c r="B28" i="70"/>
  <c r="B29" i="70"/>
  <c r="B30" i="70"/>
  <c r="B31" i="70"/>
  <c r="B32" i="70"/>
  <c r="B33" i="70"/>
  <c r="B37" i="70"/>
  <c r="B38" i="70"/>
  <c r="B39" i="70"/>
  <c r="B40" i="70"/>
  <c r="B41" i="70"/>
  <c r="B42" i="70"/>
  <c r="B43" i="70"/>
  <c r="B44" i="70"/>
  <c r="B45" i="70"/>
  <c r="B46" i="70"/>
  <c r="B47" i="70"/>
  <c r="B48" i="70"/>
  <c r="B49" i="70"/>
  <c r="B50" i="70"/>
  <c r="B54" i="70"/>
  <c r="B55" i="70"/>
  <c r="B56" i="70"/>
  <c r="B57" i="70"/>
  <c r="B58" i="70"/>
  <c r="B59" i="70"/>
  <c r="B60" i="70"/>
  <c r="B61" i="70"/>
  <c r="B62" i="70"/>
  <c r="B63" i="70"/>
  <c r="B64" i="70"/>
  <c r="B65" i="70"/>
  <c r="B66" i="70"/>
  <c r="B67" i="70"/>
  <c r="B71" i="70"/>
  <c r="B72" i="70"/>
  <c r="B73" i="70"/>
  <c r="B74" i="70"/>
  <c r="B75" i="70"/>
  <c r="B76" i="70"/>
  <c r="B77" i="70"/>
  <c r="B78" i="70"/>
  <c r="B79" i="70"/>
  <c r="B80" i="70"/>
  <c r="B81" i="70"/>
  <c r="B82" i="70"/>
  <c r="B83" i="70"/>
  <c r="B3" i="70"/>
  <c r="F20" i="70"/>
  <c r="G20" i="70"/>
  <c r="G11" i="70"/>
  <c r="F4" i="70"/>
  <c r="G4" i="70"/>
  <c r="F5" i="70"/>
  <c r="G5" i="70"/>
  <c r="F6" i="70"/>
  <c r="G6" i="70"/>
  <c r="F7" i="70"/>
  <c r="G7" i="70"/>
  <c r="F8" i="70"/>
  <c r="G8" i="70"/>
  <c r="F9" i="70"/>
  <c r="G9" i="70"/>
  <c r="F10" i="70"/>
  <c r="G10" i="70"/>
  <c r="F11" i="70"/>
  <c r="F12" i="70"/>
  <c r="G12" i="70"/>
  <c r="F13" i="70"/>
  <c r="G13" i="70"/>
  <c r="F14" i="70"/>
  <c r="G14" i="70"/>
  <c r="F15" i="70"/>
  <c r="G15" i="70"/>
  <c r="F16" i="70"/>
  <c r="G16" i="70"/>
  <c r="F21" i="70"/>
  <c r="G21" i="70"/>
  <c r="F22" i="70"/>
  <c r="G22" i="70"/>
  <c r="F23" i="70"/>
  <c r="G23" i="70"/>
  <c r="F24" i="70"/>
  <c r="G24" i="70"/>
  <c r="F25" i="70"/>
  <c r="G25" i="70"/>
  <c r="F26" i="70"/>
  <c r="G26" i="70"/>
  <c r="F27" i="70"/>
  <c r="G27" i="70"/>
  <c r="F28" i="70"/>
  <c r="G28" i="70"/>
  <c r="F29" i="70"/>
  <c r="G29" i="70"/>
  <c r="F30" i="70"/>
  <c r="G30" i="70"/>
  <c r="F31" i="70"/>
  <c r="G31" i="70"/>
  <c r="F32" i="70"/>
  <c r="G32" i="70"/>
  <c r="F33" i="70"/>
  <c r="G33" i="70"/>
  <c r="F37" i="70"/>
  <c r="G37" i="70"/>
  <c r="F38" i="70"/>
  <c r="G38" i="70"/>
  <c r="F39" i="70"/>
  <c r="G39" i="70"/>
  <c r="F40" i="70"/>
  <c r="G40" i="70"/>
  <c r="F41" i="70"/>
  <c r="G41" i="70"/>
  <c r="F42" i="70"/>
  <c r="G42" i="70"/>
  <c r="F43" i="70"/>
  <c r="G43" i="70"/>
  <c r="F44" i="70"/>
  <c r="G44" i="70"/>
  <c r="F45" i="70"/>
  <c r="G45" i="70"/>
  <c r="F46" i="70"/>
  <c r="G46" i="70"/>
  <c r="F47" i="70"/>
  <c r="G47" i="70"/>
  <c r="F48" i="70"/>
  <c r="G48" i="70"/>
  <c r="F49" i="70"/>
  <c r="G49" i="70"/>
  <c r="F50" i="70"/>
  <c r="G50" i="70"/>
  <c r="F54" i="70"/>
  <c r="G54" i="70"/>
  <c r="F55" i="70"/>
  <c r="G55" i="70"/>
  <c r="F56" i="70"/>
  <c r="G56" i="70"/>
  <c r="F57" i="70"/>
  <c r="G57" i="70"/>
  <c r="F58" i="70"/>
  <c r="G58" i="70"/>
  <c r="F59" i="70"/>
  <c r="G59" i="70"/>
  <c r="F60" i="70"/>
  <c r="G60" i="70"/>
  <c r="F61" i="70"/>
  <c r="G61" i="70"/>
  <c r="F62" i="70"/>
  <c r="G62" i="70"/>
  <c r="F63" i="70"/>
  <c r="G63" i="70"/>
  <c r="F64" i="70"/>
  <c r="G64" i="70"/>
  <c r="F65" i="70"/>
  <c r="G65" i="70"/>
  <c r="F66" i="70"/>
  <c r="G66" i="70"/>
  <c r="F67" i="70"/>
  <c r="G67" i="70"/>
  <c r="F71" i="70"/>
  <c r="G71" i="70"/>
  <c r="F72" i="70"/>
  <c r="G72" i="70"/>
  <c r="F73" i="70"/>
  <c r="G73" i="70"/>
  <c r="F74" i="70"/>
  <c r="G74" i="70"/>
  <c r="F75" i="70"/>
  <c r="G75" i="70"/>
  <c r="F76" i="70"/>
  <c r="G76" i="70"/>
  <c r="F77" i="70"/>
  <c r="G77" i="70"/>
  <c r="F78" i="70"/>
  <c r="G78" i="70"/>
  <c r="F79" i="70"/>
  <c r="G79" i="70"/>
  <c r="F80" i="70"/>
  <c r="G80" i="70"/>
  <c r="F81" i="70"/>
  <c r="G81" i="70"/>
  <c r="F82" i="70"/>
  <c r="G82" i="70"/>
  <c r="F83" i="70"/>
  <c r="G83" i="70"/>
  <c r="G3" i="70"/>
  <c r="F3" i="70"/>
  <c r="C4" i="70"/>
  <c r="D4" i="70" s="1"/>
  <c r="E4" i="70" s="1"/>
  <c r="C5" i="70"/>
  <c r="D5" i="70" s="1"/>
  <c r="C6" i="70"/>
  <c r="D6" i="70" s="1"/>
  <c r="E6" i="70" s="1"/>
  <c r="C7" i="70"/>
  <c r="D7" i="70" s="1"/>
  <c r="E7" i="70" s="1"/>
  <c r="C8" i="70"/>
  <c r="D8" i="70" s="1"/>
  <c r="E8" i="70" s="1"/>
  <c r="C9" i="70"/>
  <c r="D9" i="70" s="1"/>
  <c r="C10" i="70"/>
  <c r="D10" i="70" s="1"/>
  <c r="E10" i="70" s="1"/>
  <c r="C11" i="70"/>
  <c r="D11" i="70" s="1"/>
  <c r="E11" i="70" s="1"/>
  <c r="C12" i="70"/>
  <c r="D12" i="70" s="1"/>
  <c r="E12" i="70" s="1"/>
  <c r="C13" i="70"/>
  <c r="D13" i="70" s="1"/>
  <c r="C14" i="70"/>
  <c r="D14" i="70" s="1"/>
  <c r="C15" i="70"/>
  <c r="D15" i="70" s="1"/>
  <c r="C16" i="70"/>
  <c r="D16" i="70" s="1"/>
  <c r="E16" i="70" s="1"/>
  <c r="C17" i="70"/>
  <c r="C18" i="70"/>
  <c r="C19" i="70"/>
  <c r="C20" i="70"/>
  <c r="D20" i="70" s="1"/>
  <c r="C21" i="70"/>
  <c r="D21" i="70" s="1"/>
  <c r="E21" i="70" s="1"/>
  <c r="C22" i="70"/>
  <c r="D22" i="70" s="1"/>
  <c r="C23" i="70"/>
  <c r="D23" i="70" s="1"/>
  <c r="C24" i="70"/>
  <c r="D24" i="70" s="1"/>
  <c r="C25" i="70"/>
  <c r="D25" i="70" s="1"/>
  <c r="C26" i="70"/>
  <c r="D26" i="70" s="1"/>
  <c r="C27" i="70"/>
  <c r="D27" i="70" s="1"/>
  <c r="C28" i="70"/>
  <c r="D28" i="70" s="1"/>
  <c r="E28" i="70" s="1"/>
  <c r="C29" i="70"/>
  <c r="D29" i="70" s="1"/>
  <c r="E29" i="70" s="1"/>
  <c r="C30" i="70"/>
  <c r="D30" i="70" s="1"/>
  <c r="C31" i="70"/>
  <c r="D31" i="70" s="1"/>
  <c r="C32" i="70"/>
  <c r="D32" i="70" s="1"/>
  <c r="C33" i="70"/>
  <c r="D33" i="70" s="1"/>
  <c r="C34" i="70"/>
  <c r="C35" i="70"/>
  <c r="C36" i="70"/>
  <c r="C37" i="70"/>
  <c r="D37" i="70" s="1"/>
  <c r="C38" i="70"/>
  <c r="D38" i="70" s="1"/>
  <c r="E38" i="70" s="1"/>
  <c r="C39" i="70"/>
  <c r="D39" i="70" s="1"/>
  <c r="C40" i="70"/>
  <c r="D40" i="70" s="1"/>
  <c r="E40" i="70" s="1"/>
  <c r="C41" i="70"/>
  <c r="D41" i="70" s="1"/>
  <c r="C42" i="70"/>
  <c r="D42" i="70" s="1"/>
  <c r="C43" i="70"/>
  <c r="D43" i="70" s="1"/>
  <c r="C44" i="70"/>
  <c r="D44" i="70" s="1"/>
  <c r="C45" i="70"/>
  <c r="D45" i="70" s="1"/>
  <c r="C46" i="70"/>
  <c r="D46" i="70" s="1"/>
  <c r="C47" i="70"/>
  <c r="D47" i="70" s="1"/>
  <c r="C48" i="70"/>
  <c r="D48" i="70" s="1"/>
  <c r="C49" i="70"/>
  <c r="D49" i="70" s="1"/>
  <c r="C50" i="70"/>
  <c r="D50" i="70" s="1"/>
  <c r="C51" i="70"/>
  <c r="C52" i="70"/>
  <c r="C53" i="70"/>
  <c r="C54" i="70"/>
  <c r="D54" i="70" s="1"/>
  <c r="C55" i="70"/>
  <c r="D55" i="70" s="1"/>
  <c r="E55" i="70" s="1"/>
  <c r="C56" i="70"/>
  <c r="D56" i="70" s="1"/>
  <c r="C57" i="70"/>
  <c r="D57" i="70" s="1"/>
  <c r="C58" i="70"/>
  <c r="D58" i="70" s="1"/>
  <c r="C59" i="70"/>
  <c r="D59" i="70" s="1"/>
  <c r="C60" i="70"/>
  <c r="D60" i="70" s="1"/>
  <c r="C61" i="70"/>
  <c r="D61" i="70" s="1"/>
  <c r="C62" i="70"/>
  <c r="D62" i="70" s="1"/>
  <c r="C63" i="70"/>
  <c r="D63" i="70" s="1"/>
  <c r="C64" i="70"/>
  <c r="D64" i="70" s="1"/>
  <c r="C65" i="70"/>
  <c r="D65" i="70" s="1"/>
  <c r="C66" i="70"/>
  <c r="D66" i="70" s="1"/>
  <c r="C67" i="70"/>
  <c r="D67" i="70" s="1"/>
  <c r="E67" i="70" s="1"/>
  <c r="C68" i="70"/>
  <c r="C71" i="70"/>
  <c r="D71" i="70" s="1"/>
  <c r="C72" i="70"/>
  <c r="D72" i="70" s="1"/>
  <c r="C73" i="70"/>
  <c r="D73" i="70" s="1"/>
  <c r="C74" i="70"/>
  <c r="D74" i="70" s="1"/>
  <c r="C75" i="70"/>
  <c r="D75" i="70" s="1"/>
  <c r="C76" i="70"/>
  <c r="D76" i="70" s="1"/>
  <c r="C77" i="70"/>
  <c r="D77" i="70" s="1"/>
  <c r="C78" i="70"/>
  <c r="D78" i="70" s="1"/>
  <c r="C79" i="70"/>
  <c r="D79" i="70" s="1"/>
  <c r="C80" i="70"/>
  <c r="D80" i="70" s="1"/>
  <c r="C81" i="70"/>
  <c r="D81" i="70" s="1"/>
  <c r="C82" i="70"/>
  <c r="D82" i="70" s="1"/>
  <c r="C83" i="70"/>
  <c r="D83" i="70" s="1"/>
  <c r="C3" i="70"/>
  <c r="D3" i="70" s="1"/>
  <c r="E48" i="70" l="1"/>
  <c r="E5" i="70"/>
  <c r="E14" i="70"/>
  <c r="E60" i="70"/>
  <c r="E15" i="70"/>
  <c r="E59" i="70"/>
  <c r="E33" i="70"/>
  <c r="E25" i="70"/>
  <c r="E61" i="70"/>
  <c r="E26" i="70"/>
  <c r="E22" i="70"/>
  <c r="I3" i="70"/>
  <c r="E44" i="70"/>
  <c r="E45" i="70"/>
  <c r="E50" i="70"/>
  <c r="E42" i="70"/>
  <c r="E47" i="70"/>
  <c r="E23" i="70"/>
  <c r="E39" i="70"/>
  <c r="E79" i="70"/>
  <c r="P16" i="1"/>
  <c r="W16" i="1"/>
  <c r="U16" i="1"/>
  <c r="K16" i="1"/>
  <c r="O16" i="1"/>
  <c r="H29" i="70"/>
  <c r="H25" i="70"/>
  <c r="H21" i="70"/>
  <c r="H13" i="70"/>
  <c r="H12" i="70"/>
  <c r="H5" i="70"/>
  <c r="H3" i="70"/>
  <c r="F68" i="70"/>
  <c r="F34" i="70"/>
  <c r="F84" i="70"/>
  <c r="F51" i="70"/>
  <c r="H4" i="70"/>
  <c r="H43" i="70"/>
  <c r="H39" i="70"/>
  <c r="H28" i="70"/>
  <c r="H24" i="70"/>
  <c r="H16" i="70"/>
  <c r="E32" i="70"/>
  <c r="E24" i="70"/>
  <c r="E62" i="70"/>
  <c r="B17" i="70"/>
  <c r="M3" i="70" s="1"/>
  <c r="E13" i="70"/>
  <c r="E43" i="70"/>
  <c r="E63" i="70"/>
  <c r="E66" i="70"/>
  <c r="E65" i="70"/>
  <c r="E58" i="70"/>
  <c r="E31" i="70"/>
  <c r="E57" i="70"/>
  <c r="E64" i="70"/>
  <c r="E56" i="70"/>
  <c r="B84" i="70"/>
  <c r="M7" i="70" s="1"/>
  <c r="E80" i="70"/>
  <c r="E72" i="70"/>
  <c r="E46" i="70"/>
  <c r="E30" i="70"/>
  <c r="E49" i="70"/>
  <c r="B34" i="70"/>
  <c r="M4" i="70" s="1"/>
  <c r="B51" i="70"/>
  <c r="M5" i="70" s="1"/>
  <c r="E41" i="70"/>
  <c r="B68" i="70"/>
  <c r="M6" i="70" s="1"/>
  <c r="H7" i="70"/>
  <c r="F17" i="70"/>
  <c r="H80" i="70"/>
  <c r="H76" i="70"/>
  <c r="H72" i="70"/>
  <c r="H65" i="70"/>
  <c r="H61" i="70"/>
  <c r="H57" i="70"/>
  <c r="H50" i="70"/>
  <c r="H46" i="70"/>
  <c r="H42" i="70"/>
  <c r="H38" i="70"/>
  <c r="H31" i="70"/>
  <c r="H27" i="70"/>
  <c r="H23" i="70"/>
  <c r="H15" i="70"/>
  <c r="H10" i="70"/>
  <c r="H6" i="70"/>
  <c r="H83" i="70"/>
  <c r="H79" i="70"/>
  <c r="H75" i="70"/>
  <c r="H71" i="70"/>
  <c r="H64" i="70"/>
  <c r="H60" i="70"/>
  <c r="H56" i="70"/>
  <c r="H49" i="70"/>
  <c r="H45" i="70"/>
  <c r="H41" i="70"/>
  <c r="H37" i="70"/>
  <c r="H30" i="70"/>
  <c r="H26" i="70"/>
  <c r="H22" i="70"/>
  <c r="H14" i="70"/>
  <c r="H9" i="70"/>
  <c r="H82" i="70"/>
  <c r="H78" i="70"/>
  <c r="H74" i="70"/>
  <c r="H67" i="70"/>
  <c r="H63" i="70"/>
  <c r="H59" i="70"/>
  <c r="H55" i="70"/>
  <c r="H48" i="70"/>
  <c r="H44" i="70"/>
  <c r="H40" i="70"/>
  <c r="H33" i="70"/>
  <c r="H20" i="70"/>
  <c r="H8" i="70"/>
  <c r="H81" i="70"/>
  <c r="H77" i="70"/>
  <c r="H73" i="70"/>
  <c r="H66" i="70"/>
  <c r="H62" i="70"/>
  <c r="H58" i="70"/>
  <c r="H54" i="70"/>
  <c r="H47" i="70"/>
  <c r="H32" i="70"/>
  <c r="D68" i="70"/>
  <c r="N6" i="70" s="1"/>
  <c r="E54" i="70"/>
  <c r="D84" i="70"/>
  <c r="N7" i="70" s="1"/>
  <c r="E71" i="70"/>
  <c r="E20" i="70"/>
  <c r="D34" i="70"/>
  <c r="N4" i="70" s="1"/>
  <c r="D17" i="70"/>
  <c r="N3" i="70" s="1"/>
  <c r="E37" i="70"/>
  <c r="D51" i="70"/>
  <c r="N5" i="70" s="1"/>
  <c r="G51" i="70"/>
  <c r="P5" i="70" s="1"/>
  <c r="E82" i="70"/>
  <c r="E74" i="70"/>
  <c r="E27" i="70"/>
  <c r="E81" i="70"/>
  <c r="E73" i="70"/>
  <c r="G68" i="70"/>
  <c r="E78" i="70"/>
  <c r="G34" i="70"/>
  <c r="E77" i="70"/>
  <c r="G84" i="70"/>
  <c r="E3" i="70"/>
  <c r="E76" i="70"/>
  <c r="G17" i="70"/>
  <c r="E83" i="70"/>
  <c r="E75" i="70"/>
  <c r="E9" i="70"/>
  <c r="I20" i="70"/>
  <c r="H11" i="70"/>
  <c r="I83" i="70"/>
  <c r="I81" i="70"/>
  <c r="I79" i="70"/>
  <c r="I77" i="70"/>
  <c r="I75" i="70"/>
  <c r="I73" i="70"/>
  <c r="I71" i="70"/>
  <c r="I67" i="70"/>
  <c r="I65" i="70"/>
  <c r="I63" i="70"/>
  <c r="I61" i="70"/>
  <c r="I59" i="70"/>
  <c r="I57" i="70"/>
  <c r="I55" i="70"/>
  <c r="I49" i="70"/>
  <c r="I47" i="70"/>
  <c r="I45" i="70"/>
  <c r="I43" i="70"/>
  <c r="I41" i="70"/>
  <c r="I39" i="70"/>
  <c r="I37" i="70"/>
  <c r="I33" i="70"/>
  <c r="I31" i="70"/>
  <c r="I29" i="70"/>
  <c r="I27" i="70"/>
  <c r="I25" i="70"/>
  <c r="I23" i="70"/>
  <c r="I21" i="70"/>
  <c r="I15" i="70"/>
  <c r="I13" i="70"/>
  <c r="I11" i="70"/>
  <c r="I9" i="70"/>
  <c r="I7" i="70"/>
  <c r="I5" i="70"/>
  <c r="I4" i="70"/>
  <c r="I82" i="70"/>
  <c r="I80" i="70"/>
  <c r="I78" i="70"/>
  <c r="I76" i="70"/>
  <c r="I74" i="70"/>
  <c r="I72" i="70"/>
  <c r="I66" i="70"/>
  <c r="I64" i="70"/>
  <c r="I62" i="70"/>
  <c r="I60" i="70"/>
  <c r="I58" i="70"/>
  <c r="I56" i="70"/>
  <c r="I54" i="70"/>
  <c r="I50" i="70"/>
  <c r="I48" i="70"/>
  <c r="I46" i="70"/>
  <c r="I44" i="70"/>
  <c r="I42" i="70"/>
  <c r="I40" i="70"/>
  <c r="I38" i="70"/>
  <c r="I32" i="70"/>
  <c r="I30" i="70"/>
  <c r="I28" i="70"/>
  <c r="I26" i="70"/>
  <c r="I24" i="70"/>
  <c r="I22" i="70"/>
  <c r="I16" i="70"/>
  <c r="I14" i="70"/>
  <c r="I12" i="70"/>
  <c r="I10" i="70"/>
  <c r="I8" i="70"/>
  <c r="I6" i="70"/>
  <c r="AN20" i="1"/>
  <c r="H34" i="70" l="1"/>
  <c r="P4" i="70" s="1"/>
  <c r="M9" i="70"/>
  <c r="F86" i="70"/>
  <c r="I68" i="70"/>
  <c r="Q6" i="70" s="1"/>
  <c r="I51" i="70"/>
  <c r="Q5" i="70" s="1"/>
  <c r="I17" i="70"/>
  <c r="Q3" i="70" s="1"/>
  <c r="E34" i="70"/>
  <c r="O4" i="70" s="1"/>
  <c r="H84" i="70"/>
  <c r="P7" i="70" s="1"/>
  <c r="G86" i="70"/>
  <c r="N9" i="70"/>
  <c r="I84" i="70"/>
  <c r="Q7" i="70" s="1"/>
  <c r="I34" i="70"/>
  <c r="Q4" i="70" s="1"/>
  <c r="H68" i="70"/>
  <c r="P6" i="70"/>
  <c r="H51" i="70"/>
  <c r="H17" i="70"/>
  <c r="P3" i="70" s="1"/>
  <c r="E17" i="70"/>
  <c r="O3" i="70" s="1"/>
  <c r="E68" i="70"/>
  <c r="O6" i="70" s="1"/>
  <c r="E51" i="70"/>
  <c r="O5" i="70" s="1"/>
  <c r="E84" i="70"/>
  <c r="O7" i="70" s="1"/>
  <c r="O9" i="70" l="1"/>
  <c r="I86" i="70"/>
  <c r="Q9" i="70" s="1"/>
  <c r="H86" i="70"/>
  <c r="P9" i="70" s="1"/>
  <c r="AM21" i="1"/>
  <c r="AM20" i="1"/>
  <c r="C20" i="30" l="1"/>
  <c r="AL20" i="1"/>
  <c r="J6" i="44" s="1"/>
  <c r="AC4" i="50" l="1"/>
  <c r="AB4" i="50"/>
  <c r="AT20" i="1" l="1"/>
  <c r="AE4" i="1"/>
  <c r="AF4" i="1" s="1"/>
  <c r="Z4" i="1"/>
  <c r="AA4" i="1" s="1"/>
  <c r="G4" i="1"/>
  <c r="F6" i="17" s="1"/>
  <c r="G6" i="17" s="1"/>
  <c r="E4" i="1"/>
  <c r="D45" i="1" s="1"/>
  <c r="D4" i="1"/>
  <c r="B4" i="1"/>
  <c r="AE3" i="1"/>
  <c r="AF3" i="1" s="1"/>
  <c r="Z3" i="1"/>
  <c r="AA3" i="1" s="1"/>
  <c r="G3" i="1"/>
  <c r="E3" i="1"/>
  <c r="D3" i="1"/>
  <c r="B3" i="1"/>
  <c r="D3" i="44"/>
  <c r="D44" i="1" l="1"/>
  <c r="F5" i="17"/>
  <c r="F4" i="1"/>
  <c r="Q4" i="1"/>
  <c r="R4" i="1" s="1"/>
  <c r="S4" i="1" s="1"/>
  <c r="H4" i="1"/>
  <c r="J4" i="1" s="1"/>
  <c r="F3" i="1"/>
  <c r="Q3" i="1"/>
  <c r="R3" i="1" s="1"/>
  <c r="S3" i="1" s="1"/>
  <c r="H3" i="1"/>
  <c r="J3" i="1" s="1"/>
  <c r="AU4" i="1" l="1"/>
  <c r="AV4" i="1" s="1"/>
  <c r="L4" i="1"/>
  <c r="AU3" i="1"/>
  <c r="AV3" i="1" s="1"/>
  <c r="L3" i="1"/>
  <c r="AB4" i="1"/>
  <c r="T4" i="1"/>
  <c r="AG4" i="1"/>
  <c r="V4" i="1"/>
  <c r="N4" i="1"/>
  <c r="T3" i="1"/>
  <c r="AB3" i="1"/>
  <c r="AG3" i="1"/>
  <c r="V3" i="1"/>
  <c r="N3" i="1"/>
  <c r="AE9" i="1"/>
  <c r="AF9" i="1" s="1"/>
  <c r="Z9" i="1"/>
  <c r="AA9" i="1" s="1"/>
  <c r="G9" i="1"/>
  <c r="E9" i="1"/>
  <c r="D50" i="1" s="1"/>
  <c r="D9" i="1"/>
  <c r="B9" i="1"/>
  <c r="AE8" i="1"/>
  <c r="AF8" i="1" s="1"/>
  <c r="Z8" i="1"/>
  <c r="AA8" i="1" s="1"/>
  <c r="G8" i="1"/>
  <c r="F10" i="17" s="1"/>
  <c r="E8" i="1"/>
  <c r="D49" i="1" s="1"/>
  <c r="D8" i="1"/>
  <c r="B8" i="1"/>
  <c r="AE7" i="1"/>
  <c r="AF7" i="1" s="1"/>
  <c r="Z7" i="1"/>
  <c r="AA7" i="1" s="1"/>
  <c r="G7" i="1"/>
  <c r="E7" i="1"/>
  <c r="D48" i="1" s="1"/>
  <c r="D7" i="1"/>
  <c r="B7" i="1"/>
  <c r="AE6" i="1"/>
  <c r="AF6" i="1" s="1"/>
  <c r="Z6" i="1"/>
  <c r="AA6" i="1" s="1"/>
  <c r="G6" i="1"/>
  <c r="E6" i="1"/>
  <c r="D47" i="1" s="1"/>
  <c r="D6" i="1"/>
  <c r="B6" i="1"/>
  <c r="AE5" i="1"/>
  <c r="AF5" i="1" s="1"/>
  <c r="Z5" i="1"/>
  <c r="AA5" i="1" s="1"/>
  <c r="G5" i="1"/>
  <c r="E5" i="1"/>
  <c r="D5" i="1"/>
  <c r="B5" i="1"/>
  <c r="D46" i="1" l="1"/>
  <c r="AI3" i="1"/>
  <c r="AH3" i="1"/>
  <c r="AH4" i="1"/>
  <c r="AI4" i="1"/>
  <c r="AA20" i="1"/>
  <c r="F11" i="17"/>
  <c r="G11" i="17" s="1"/>
  <c r="F7" i="17"/>
  <c r="G7" i="17" s="1"/>
  <c r="F9" i="17"/>
  <c r="G9" i="17" s="1"/>
  <c r="F8" i="17"/>
  <c r="G8" i="17" s="1"/>
  <c r="AF20" i="1"/>
  <c r="Z20" i="1"/>
  <c r="AE20" i="1"/>
  <c r="AW4" i="1"/>
  <c r="AX4" i="1" s="1"/>
  <c r="AY4" i="1"/>
  <c r="AZ4" i="1" s="1"/>
  <c r="BA4" i="1" s="1"/>
  <c r="AW3" i="1"/>
  <c r="AX3" i="1" s="1"/>
  <c r="AY3" i="1"/>
  <c r="AZ3" i="1" s="1"/>
  <c r="BA3" i="1" s="1"/>
  <c r="W4" i="1"/>
  <c r="U4" i="1"/>
  <c r="K3" i="1"/>
  <c r="K4" i="1"/>
  <c r="AC4" i="1"/>
  <c r="AD4" i="1"/>
  <c r="P4" i="1"/>
  <c r="O4" i="1"/>
  <c r="W3" i="1"/>
  <c r="U3" i="1"/>
  <c r="P3" i="1"/>
  <c r="O3" i="1"/>
  <c r="AC3" i="1"/>
  <c r="AD3" i="1"/>
  <c r="K5" i="1"/>
  <c r="K6" i="1"/>
  <c r="K8" i="1"/>
  <c r="K9" i="1"/>
  <c r="H7" i="1"/>
  <c r="J7" i="1" s="1"/>
  <c r="H6" i="1"/>
  <c r="J6" i="1" s="1"/>
  <c r="F9" i="1"/>
  <c r="Q9" i="1"/>
  <c r="R9" i="1" s="1"/>
  <c r="S9" i="1" s="1"/>
  <c r="H9" i="1"/>
  <c r="J9" i="1" s="1"/>
  <c r="F7" i="1"/>
  <c r="Q7" i="1"/>
  <c r="R7" i="1" s="1"/>
  <c r="S7" i="1" s="1"/>
  <c r="F8" i="1"/>
  <c r="Q8" i="1"/>
  <c r="R8" i="1" s="1"/>
  <c r="S8" i="1" s="1"/>
  <c r="K7" i="1"/>
  <c r="H8" i="1"/>
  <c r="J8" i="1" s="1"/>
  <c r="F6" i="1"/>
  <c r="Q6" i="1"/>
  <c r="R6" i="1" s="1"/>
  <c r="S6" i="1" s="1"/>
  <c r="F5" i="1"/>
  <c r="Q5" i="1"/>
  <c r="R5" i="1" s="1"/>
  <c r="S5" i="1" s="1"/>
  <c r="H5" i="1"/>
  <c r="J5" i="1" s="1"/>
  <c r="AU8" i="1" l="1"/>
  <c r="AV8" i="1" s="1"/>
  <c r="L8" i="1"/>
  <c r="AU7" i="1"/>
  <c r="AV7" i="1" s="1"/>
  <c r="L7" i="1"/>
  <c r="AU6" i="1"/>
  <c r="AV6" i="1" s="1"/>
  <c r="L6" i="1"/>
  <c r="AU5" i="1"/>
  <c r="AV5" i="1" s="1"/>
  <c r="L5" i="1"/>
  <c r="AU9" i="1"/>
  <c r="AV9" i="1" s="1"/>
  <c r="L9" i="1"/>
  <c r="AB7" i="1"/>
  <c r="Q20" i="1"/>
  <c r="AB9" i="1"/>
  <c r="T9" i="1"/>
  <c r="U9" i="1" s="1"/>
  <c r="AG9" i="1"/>
  <c r="V9" i="1"/>
  <c r="W9" i="1" s="1"/>
  <c r="N9" i="1"/>
  <c r="AB8" i="1"/>
  <c r="T8" i="1"/>
  <c r="U8" i="1" s="1"/>
  <c r="AG8" i="1"/>
  <c r="V8" i="1"/>
  <c r="W8" i="1" s="1"/>
  <c r="N8" i="1"/>
  <c r="V7" i="1"/>
  <c r="W7" i="1" s="1"/>
  <c r="N7" i="1"/>
  <c r="T7" i="1"/>
  <c r="U7" i="1" s="1"/>
  <c r="AG7" i="1"/>
  <c r="V6" i="1"/>
  <c r="W6" i="1" s="1"/>
  <c r="AB6" i="1"/>
  <c r="T6" i="1"/>
  <c r="U6" i="1" s="1"/>
  <c r="AG6" i="1"/>
  <c r="N6" i="1"/>
  <c r="N5" i="1"/>
  <c r="AB5" i="1"/>
  <c r="T5" i="1"/>
  <c r="U5" i="1" s="1"/>
  <c r="AG5" i="1"/>
  <c r="V5" i="1"/>
  <c r="W5" i="1" s="1"/>
  <c r="AC6" i="1" l="1"/>
  <c r="AD6" i="1"/>
  <c r="AD5" i="1"/>
  <c r="AC5" i="1"/>
  <c r="AH8" i="1"/>
  <c r="AI8" i="1"/>
  <c r="AH9" i="1"/>
  <c r="AI9" i="1"/>
  <c r="AI5" i="1"/>
  <c r="AH5" i="1"/>
  <c r="AH7" i="1"/>
  <c r="AI7" i="1"/>
  <c r="AH6" i="1"/>
  <c r="AI6" i="1"/>
  <c r="AG20" i="1"/>
  <c r="AB20" i="1"/>
  <c r="AD20" i="1" s="1"/>
  <c r="AW7" i="1"/>
  <c r="AX7" i="1" s="1"/>
  <c r="AY7" i="1"/>
  <c r="AZ7" i="1" s="1"/>
  <c r="BA7" i="1" s="1"/>
  <c r="AW9" i="1"/>
  <c r="AX9" i="1" s="1"/>
  <c r="AY9" i="1"/>
  <c r="AZ9" i="1" s="1"/>
  <c r="BA9" i="1" s="1"/>
  <c r="AW8" i="1"/>
  <c r="AX8" i="1" s="1"/>
  <c r="AY8" i="1"/>
  <c r="AZ8" i="1" s="1"/>
  <c r="BA8" i="1" s="1"/>
  <c r="AW5" i="1"/>
  <c r="AX5" i="1" s="1"/>
  <c r="AY5" i="1"/>
  <c r="AZ5" i="1" s="1"/>
  <c r="BA5" i="1" s="1"/>
  <c r="AW6" i="1"/>
  <c r="AX6" i="1" s="1"/>
  <c r="AY6" i="1"/>
  <c r="AZ6" i="1" s="1"/>
  <c r="BA6" i="1" s="1"/>
  <c r="W20" i="1"/>
  <c r="V20" i="1"/>
  <c r="U20" i="1"/>
  <c r="T20" i="1"/>
  <c r="S20" i="1"/>
  <c r="R20" i="1"/>
  <c r="AC9" i="1"/>
  <c r="AD9" i="1"/>
  <c r="P9" i="1"/>
  <c r="O9" i="1"/>
  <c r="P8" i="1"/>
  <c r="O8" i="1"/>
  <c r="P7" i="1"/>
  <c r="O7" i="1"/>
  <c r="AD7" i="1"/>
  <c r="AC7" i="1"/>
  <c r="AC8" i="1"/>
  <c r="AD8" i="1"/>
  <c r="P6" i="1"/>
  <c r="O6" i="1"/>
  <c r="P5" i="1"/>
  <c r="O5" i="1"/>
  <c r="K15" i="44"/>
  <c r="AH20" i="1" l="1"/>
  <c r="AI20" i="1"/>
  <c r="H6" i="44" s="1"/>
  <c r="AC20" i="1"/>
  <c r="Y16" i="1"/>
  <c r="Y3" i="1"/>
  <c r="Y20" i="1" s="1"/>
  <c r="Y4" i="1"/>
  <c r="G6" i="44"/>
  <c r="Y5" i="1"/>
  <c r="Y7" i="1"/>
  <c r="Y8" i="1"/>
  <c r="Y6" i="1"/>
  <c r="Y9" i="1"/>
  <c r="C5" i="44"/>
  <c r="C7" i="44" s="1"/>
  <c r="C6" i="44" l="1"/>
  <c r="AE14" i="1" l="1"/>
  <c r="AE11" i="1"/>
  <c r="AE15" i="1"/>
  <c r="Z14" i="1"/>
  <c r="AA14" i="1" s="1"/>
  <c r="Z11" i="1"/>
  <c r="AA15" i="1"/>
  <c r="G14" i="1"/>
  <c r="G11" i="1"/>
  <c r="G15" i="1"/>
  <c r="E14" i="1"/>
  <c r="D54" i="1" s="1"/>
  <c r="E11" i="1"/>
  <c r="E15" i="1"/>
  <c r="D55" i="1" s="1"/>
  <c r="E21" i="1" l="1"/>
  <c r="E20" i="1"/>
  <c r="D51" i="1"/>
  <c r="D11" i="30" s="1"/>
  <c r="E11" i="30" s="1"/>
  <c r="D6" i="30"/>
  <c r="E6" i="30" s="1"/>
  <c r="D7" i="30"/>
  <c r="E7" i="30" s="1"/>
  <c r="D9" i="30"/>
  <c r="E9" i="30" s="1"/>
  <c r="D17" i="30"/>
  <c r="D13" i="30"/>
  <c r="D10" i="30"/>
  <c r="E10" i="30" s="1"/>
  <c r="D16" i="30"/>
  <c r="E16" i="30" s="1"/>
  <c r="D12" i="30"/>
  <c r="E12" i="30" s="1"/>
  <c r="D8" i="30"/>
  <c r="E8" i="30" s="1"/>
  <c r="D18" i="30"/>
  <c r="E18" i="30" s="1"/>
  <c r="D15" i="30"/>
  <c r="D19" i="30"/>
  <c r="E19" i="30" s="1"/>
  <c r="D4" i="30"/>
  <c r="E4" i="30" s="1"/>
  <c r="D14" i="30"/>
  <c r="D5" i="30"/>
  <c r="E5" i="30" s="1"/>
  <c r="F15" i="17"/>
  <c r="G15" i="17" s="1"/>
  <c r="F16" i="17"/>
  <c r="G16" i="17" s="1"/>
  <c r="F12" i="17"/>
  <c r="G12" i="17" s="1"/>
  <c r="Z21" i="1"/>
  <c r="AE21" i="1"/>
  <c r="G20" i="1"/>
  <c r="G21" i="1"/>
  <c r="Q15" i="1"/>
  <c r="R15" i="1" s="1"/>
  <c r="S15" i="1" s="1"/>
  <c r="Q14" i="1"/>
  <c r="R14" i="1" s="1"/>
  <c r="S14" i="1" s="1"/>
  <c r="Q11" i="1"/>
  <c r="R11" i="1" s="1"/>
  <c r="S11" i="1" s="1"/>
  <c r="X13" i="1" l="1"/>
  <c r="X12" i="1"/>
  <c r="X18" i="1"/>
  <c r="X17" i="1"/>
  <c r="X19" i="1"/>
  <c r="H19" i="17"/>
  <c r="J20" i="1"/>
  <c r="D5" i="44"/>
  <c r="X16" i="1"/>
  <c r="X3" i="1"/>
  <c r="X4" i="1"/>
  <c r="X20" i="1"/>
  <c r="K20" i="1"/>
  <c r="H4" i="51"/>
  <c r="I4" i="51" l="1"/>
  <c r="I5" i="51"/>
  <c r="AN21" i="1"/>
  <c r="I14" i="51" l="1"/>
  <c r="I13" i="51"/>
  <c r="I12" i="51"/>
  <c r="I15" i="51"/>
  <c r="I8" i="51"/>
  <c r="I7" i="51"/>
  <c r="I6" i="51"/>
  <c r="I9" i="51"/>
  <c r="H12" i="17"/>
  <c r="J12" i="17"/>
  <c r="K12" i="17" s="1"/>
  <c r="H11" i="17"/>
  <c r="J11" i="17"/>
  <c r="K11" i="17" s="1"/>
  <c r="H18" i="17"/>
  <c r="K18" i="17"/>
  <c r="I16" i="51" l="1"/>
  <c r="I17" i="51"/>
  <c r="I10" i="51"/>
  <c r="I11" i="51"/>
  <c r="L18" i="17"/>
  <c r="L11" i="17"/>
  <c r="L12" i="17"/>
  <c r="E21" i="17" l="1"/>
  <c r="I21" i="17"/>
  <c r="D13" i="44" s="1"/>
  <c r="K18" i="44" l="1"/>
  <c r="K17" i="44"/>
  <c r="K16" i="44"/>
  <c r="F16" i="44"/>
  <c r="F17" i="44"/>
  <c r="F18" i="44"/>
  <c r="F15" i="44"/>
  <c r="G23" i="58" l="1"/>
  <c r="E23" i="58"/>
  <c r="C23" i="58"/>
  <c r="G22" i="58"/>
  <c r="E22" i="58"/>
  <c r="C22" i="58"/>
  <c r="G21" i="58"/>
  <c r="E21" i="58"/>
  <c r="C21" i="58"/>
  <c r="G20" i="58"/>
  <c r="E20" i="58"/>
  <c r="C20" i="58"/>
  <c r="G19" i="58"/>
  <c r="E19" i="58"/>
  <c r="C19" i="58"/>
  <c r="G18" i="58"/>
  <c r="E18" i="58"/>
  <c r="C18" i="58"/>
  <c r="G17" i="58"/>
  <c r="E17" i="58"/>
  <c r="C17" i="58"/>
  <c r="G16" i="58"/>
  <c r="E16" i="58"/>
  <c r="C16" i="58"/>
  <c r="G15" i="58"/>
  <c r="E15" i="58"/>
  <c r="C15" i="58"/>
  <c r="G14" i="58"/>
  <c r="E14" i="58"/>
  <c r="C14" i="58"/>
  <c r="G13" i="58"/>
  <c r="E13" i="58"/>
  <c r="C13" i="58"/>
  <c r="G12" i="58"/>
  <c r="E12" i="58"/>
  <c r="C12" i="58"/>
  <c r="G11" i="58"/>
  <c r="E11" i="58"/>
  <c r="C11" i="58"/>
  <c r="K10" i="58"/>
  <c r="I10" i="58"/>
  <c r="G10" i="58"/>
  <c r="E10" i="58"/>
  <c r="C10" i="58"/>
  <c r="K9" i="58"/>
  <c r="I9" i="58"/>
  <c r="G9" i="58"/>
  <c r="E9" i="58"/>
  <c r="C9" i="58"/>
  <c r="K8" i="58"/>
  <c r="I8" i="58"/>
  <c r="G8" i="58"/>
  <c r="E8" i="58"/>
  <c r="C8" i="58"/>
  <c r="K7" i="58"/>
  <c r="I7" i="58"/>
  <c r="G7" i="58"/>
  <c r="E7" i="58"/>
  <c r="C7" i="58"/>
  <c r="K6" i="58"/>
  <c r="I6" i="58"/>
  <c r="G6" i="58"/>
  <c r="E6" i="58"/>
  <c r="C6" i="58"/>
  <c r="E24" i="58" l="1"/>
  <c r="G24" i="58"/>
  <c r="K11" i="58"/>
  <c r="I11" i="58"/>
  <c r="B15" i="1" l="1"/>
  <c r="AA11" i="1" l="1"/>
  <c r="AF15" i="1"/>
  <c r="AF14" i="1"/>
  <c r="AF11" i="1"/>
  <c r="AA21" i="1" l="1"/>
  <c r="AF21" i="1"/>
  <c r="AL21" i="1"/>
  <c r="J5" i="44" l="1"/>
  <c r="D19" i="44"/>
  <c r="AD5" i="50" l="1"/>
  <c r="AE5" i="50"/>
  <c r="AD6" i="50"/>
  <c r="AE6" i="50"/>
  <c r="AD7" i="50"/>
  <c r="AE7" i="50"/>
  <c r="AD8" i="50"/>
  <c r="AE8" i="50"/>
  <c r="AD9" i="50"/>
  <c r="AE9" i="50"/>
  <c r="AD10" i="50"/>
  <c r="AE10" i="50"/>
  <c r="AD11" i="50"/>
  <c r="AE11" i="50"/>
  <c r="AD12" i="50"/>
  <c r="AE12" i="50"/>
  <c r="AD13" i="50"/>
  <c r="AE13" i="50"/>
  <c r="AD14" i="50"/>
  <c r="AE14" i="50"/>
  <c r="AD15" i="50"/>
  <c r="AE15" i="50"/>
  <c r="AD16" i="50"/>
  <c r="AE16" i="50"/>
  <c r="AD17" i="50"/>
  <c r="AE17" i="50"/>
  <c r="AE4" i="50"/>
  <c r="AD4" i="50"/>
  <c r="AB5" i="50"/>
  <c r="AC5" i="50"/>
  <c r="AB6" i="50"/>
  <c r="AC6" i="50"/>
  <c r="AB7" i="50"/>
  <c r="AC7" i="50"/>
  <c r="AB8" i="50"/>
  <c r="AC8" i="50"/>
  <c r="AB9" i="50"/>
  <c r="AC9" i="50"/>
  <c r="AB10" i="50"/>
  <c r="AC10" i="50"/>
  <c r="AB11" i="50"/>
  <c r="AC11" i="50"/>
  <c r="AB12" i="50"/>
  <c r="AC12" i="50"/>
  <c r="AB13" i="50"/>
  <c r="AC13" i="50"/>
  <c r="AB14" i="50"/>
  <c r="AC14" i="50"/>
  <c r="AB15" i="50"/>
  <c r="AC15" i="50"/>
  <c r="AB16" i="50"/>
  <c r="AC16" i="50"/>
  <c r="AB17" i="50"/>
  <c r="AC17" i="50"/>
  <c r="C11" i="44"/>
  <c r="AC20" i="50" l="1"/>
  <c r="AB20" i="50"/>
  <c r="AD20" i="50"/>
  <c r="AE20" i="50"/>
  <c r="H20" i="51"/>
  <c r="F11" i="44" s="1"/>
  <c r="D9" i="44" l="1"/>
  <c r="F9" i="44" s="1"/>
  <c r="D8" i="44"/>
  <c r="F8" i="44" s="1"/>
  <c r="AI9" i="50"/>
  <c r="I20" i="51"/>
  <c r="D14" i="1"/>
  <c r="D11" i="1"/>
  <c r="D15" i="1"/>
  <c r="B14" i="1"/>
  <c r="B11" i="1"/>
  <c r="D20" i="1" l="1"/>
  <c r="AG9" i="50"/>
  <c r="H10" i="17"/>
  <c r="J10" i="17"/>
  <c r="K10" i="17" s="1"/>
  <c r="H9" i="17"/>
  <c r="J9" i="17"/>
  <c r="K9" i="17" s="1"/>
  <c r="H16" i="17"/>
  <c r="J16" i="17"/>
  <c r="K16" i="17" s="1"/>
  <c r="J14" i="17"/>
  <c r="K14" i="17" s="1"/>
  <c r="H14" i="17"/>
  <c r="J13" i="17"/>
  <c r="K13" i="17" s="1"/>
  <c r="H13" i="17"/>
  <c r="J15" i="17"/>
  <c r="K15" i="17" s="1"/>
  <c r="H15" i="17"/>
  <c r="B21" i="1"/>
  <c r="K14" i="1"/>
  <c r="H5" i="17"/>
  <c r="H11" i="1"/>
  <c r="J11" i="1" s="1"/>
  <c r="K15" i="1"/>
  <c r="F11" i="1"/>
  <c r="Y14" i="1"/>
  <c r="Y15" i="1"/>
  <c r="Y11" i="1"/>
  <c r="K11" i="1"/>
  <c r="H15" i="1"/>
  <c r="J15" i="1" s="1"/>
  <c r="F15" i="1"/>
  <c r="AU15" i="1" l="1"/>
  <c r="AV15" i="1" s="1"/>
  <c r="L15" i="1"/>
  <c r="AU11" i="1"/>
  <c r="L11" i="1"/>
  <c r="E13" i="30"/>
  <c r="E17" i="30"/>
  <c r="L13" i="17"/>
  <c r="L9" i="17"/>
  <c r="L15" i="17"/>
  <c r="L16" i="17"/>
  <c r="L10" i="17"/>
  <c r="L14" i="17"/>
  <c r="AG15" i="1"/>
  <c r="AH15" i="1" s="1"/>
  <c r="N15" i="1"/>
  <c r="AG11" i="1"/>
  <c r="N11" i="1"/>
  <c r="J5" i="17"/>
  <c r="AB15" i="1"/>
  <c r="AD15" i="1" s="1"/>
  <c r="T15" i="1"/>
  <c r="U15" i="1" s="1"/>
  <c r="V15" i="1"/>
  <c r="W15" i="1" s="1"/>
  <c r="T11" i="1"/>
  <c r="U11" i="1" s="1"/>
  <c r="V11" i="1"/>
  <c r="W11" i="1" s="1"/>
  <c r="AB11" i="1"/>
  <c r="AD11" i="1" l="1"/>
  <c r="AC11" i="1"/>
  <c r="AY15" i="1"/>
  <c r="AZ15" i="1" s="1"/>
  <c r="BA15" i="1" s="1"/>
  <c r="AW15" i="1"/>
  <c r="AX15" i="1" s="1"/>
  <c r="AI15" i="1"/>
  <c r="AH11" i="1"/>
  <c r="AI11" i="1"/>
  <c r="AV11" i="1"/>
  <c r="AC15" i="1"/>
  <c r="P15" i="1"/>
  <c r="O15" i="1"/>
  <c r="P11" i="1"/>
  <c r="O11" i="1"/>
  <c r="AW11" i="1" l="1"/>
  <c r="AX11" i="1" s="1"/>
  <c r="AY11" i="1"/>
  <c r="AZ11" i="1" s="1"/>
  <c r="BA11" i="1" s="1"/>
  <c r="D12" i="44"/>
  <c r="AD22" i="50" l="1"/>
  <c r="AB22" i="50"/>
  <c r="H7" i="17" l="1"/>
  <c r="J7" i="17"/>
  <c r="K7" i="17" s="1"/>
  <c r="H6" i="17"/>
  <c r="J6" i="17"/>
  <c r="K6" i="17" s="1"/>
  <c r="L6" i="17" l="1"/>
  <c r="L7" i="17"/>
  <c r="H14" i="1"/>
  <c r="J14" i="1" s="1"/>
  <c r="I26" i="1" l="1"/>
  <c r="J26" i="1" s="1"/>
  <c r="X9" i="1" l="1"/>
  <c r="X7" i="1"/>
  <c r="X8" i="1"/>
  <c r="X6" i="1"/>
  <c r="X5" i="1"/>
  <c r="Q21" i="1"/>
  <c r="R21" i="1" s="1"/>
  <c r="S21" i="1" s="1"/>
  <c r="X15" i="1"/>
  <c r="X11" i="1"/>
  <c r="X14" i="1"/>
  <c r="D21" i="1" l="1"/>
  <c r="H17" i="17" l="1"/>
  <c r="K17" i="17"/>
  <c r="J8" i="17"/>
  <c r="K8" i="17" s="1"/>
  <c r="H8" i="17"/>
  <c r="X21" i="1"/>
  <c r="D10" i="44"/>
  <c r="Y21" i="1"/>
  <c r="L17" i="17" l="1"/>
  <c r="L8" i="17"/>
  <c r="F21" i="17"/>
  <c r="G21" i="17" s="1"/>
  <c r="F12" i="44" s="1"/>
  <c r="J21" i="1"/>
  <c r="F10" i="44" s="1"/>
  <c r="H21" i="17" l="1"/>
  <c r="J21" i="17"/>
  <c r="K5" i="17"/>
  <c r="F14" i="1" l="1"/>
  <c r="AU14" i="1" l="1"/>
  <c r="L14" i="1"/>
  <c r="F21" i="1"/>
  <c r="F20" i="1"/>
  <c r="L20" i="1" s="1"/>
  <c r="E14" i="30"/>
  <c r="E15" i="30"/>
  <c r="AG14" i="1"/>
  <c r="AH14" i="1" s="1"/>
  <c r="N14" i="1"/>
  <c r="T14" i="1"/>
  <c r="U14" i="1" s="1"/>
  <c r="V14" i="1"/>
  <c r="W14" i="1" s="1"/>
  <c r="AB14" i="1"/>
  <c r="AB21" i="1" s="1"/>
  <c r="AV14" i="1" l="1"/>
  <c r="AU20" i="1"/>
  <c r="AV20" i="1" s="1"/>
  <c r="D20" i="30"/>
  <c r="C26" i="1"/>
  <c r="AG21" i="1"/>
  <c r="AI14" i="1"/>
  <c r="AD14" i="1"/>
  <c r="N21" i="1"/>
  <c r="N20" i="1"/>
  <c r="P20" i="1" s="1"/>
  <c r="L21" i="1"/>
  <c r="E20" i="30" s="1"/>
  <c r="E5" i="44"/>
  <c r="D7" i="44" s="1"/>
  <c r="AC21" i="1"/>
  <c r="AC14" i="1"/>
  <c r="O14" i="1"/>
  <c r="P14" i="1"/>
  <c r="L5" i="17"/>
  <c r="AY14" i="1" l="1"/>
  <c r="AZ14" i="1" s="1"/>
  <c r="BA14" i="1" s="1"/>
  <c r="AW14" i="1"/>
  <c r="AX14" i="1" s="1"/>
  <c r="AW20" i="1"/>
  <c r="AY20" i="1"/>
  <c r="AZ20" i="1" s="1"/>
  <c r="BA20" i="1" s="1"/>
  <c r="AH21" i="1"/>
  <c r="AI21" i="1"/>
  <c r="F7" i="44"/>
  <c r="F5" i="44"/>
  <c r="O20" i="1"/>
  <c r="K21" i="17"/>
  <c r="F13" i="44" s="1"/>
  <c r="AW21" i="1" l="1"/>
  <c r="D6" i="44" s="1"/>
  <c r="AX20" i="1"/>
  <c r="F6" i="44" s="1"/>
  <c r="E6" i="44"/>
  <c r="L21" i="17"/>
  <c r="K21" i="1" l="1"/>
  <c r="V21" i="1" l="1"/>
  <c r="W21" i="1" s="1"/>
  <c r="T21" i="1"/>
  <c r="U21" i="1" s="1"/>
  <c r="E23" i="1" l="1"/>
  <c r="AD21" i="1" l="1"/>
  <c r="G5" i="44" s="1"/>
  <c r="H5" i="44"/>
  <c r="P21" i="1"/>
  <c r="O21" i="1"/>
  <c r="L23" i="1"/>
  <c r="F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<sst xmlns="http://schemas.openxmlformats.org/spreadsheetml/2006/main" count="1789" uniqueCount="587">
  <si>
    <t>สาขา</t>
  </si>
  <si>
    <t>Yuedpao สาขา SIAM SQUARE</t>
  </si>
  <si>
    <t>Yuedpao สาขา Fashion Island</t>
  </si>
  <si>
    <t>Yuedpao สาขา Central นครสวรรค์</t>
  </si>
  <si>
    <t>Yuedpao สาขา The Mall บางกะปิ</t>
  </si>
  <si>
    <t>Yuedpao สาขา Central เชียงราย</t>
  </si>
  <si>
    <t>Yuedpao สาขา BTS สยาม</t>
  </si>
  <si>
    <t>Yuedpao สาขา BTS หมอชิต</t>
  </si>
  <si>
    <t xml:space="preserve">TARGET </t>
  </si>
  <si>
    <t>TO DAY</t>
  </si>
  <si>
    <t>AVE SALE / INV</t>
  </si>
  <si>
    <t>SALE INV Standard</t>
  </si>
  <si>
    <t>DIFT</t>
  </si>
  <si>
    <t>AVE SALE / DAY</t>
  </si>
  <si>
    <t>% TARGET</t>
  </si>
  <si>
    <t>เปรียบเทียบรายปี</t>
  </si>
  <si>
    <t>เปรียบเทียบรายเดือน</t>
  </si>
  <si>
    <t xml:space="preserve">REMARK </t>
  </si>
  <si>
    <t>ก่อนหัก VAT</t>
  </si>
  <si>
    <t>หลังหัก VAT</t>
  </si>
  <si>
    <t>IVN.</t>
  </si>
  <si>
    <t>achieve 100%</t>
  </si>
  <si>
    <t>achieve 110%</t>
  </si>
  <si>
    <t>achieve 120%</t>
  </si>
  <si>
    <t xml:space="preserve">สาขา </t>
  </si>
  <si>
    <t>ขาดอีก</t>
  </si>
  <si>
    <t>ขาดอีก ต่อวัน</t>
  </si>
  <si>
    <t>วันคงเหลือ</t>
  </si>
  <si>
    <t>วันนี้</t>
  </si>
  <si>
    <t>คงเหลือ</t>
  </si>
  <si>
    <t xml:space="preserve">เปรียบเทียบรายสัปดาห์			</t>
  </si>
  <si>
    <t>ยอดขายรวมทั้งหมด</t>
  </si>
  <si>
    <t>แก้ไขตัวเลข</t>
  </si>
  <si>
    <t>Stock Holding</t>
  </si>
  <si>
    <t>มูลค่า</t>
  </si>
  <si>
    <t>STK. Holding</t>
  </si>
  <si>
    <t>MIX SALE ALL GROUP</t>
  </si>
  <si>
    <t>MIX SALE GROUP AREA</t>
  </si>
  <si>
    <t>NO</t>
  </si>
  <si>
    <t xml:space="preserve">SALE </t>
  </si>
  <si>
    <t>Employee</t>
  </si>
  <si>
    <t>Part-time</t>
  </si>
  <si>
    <t>TARGET</t>
  </si>
  <si>
    <t>Yuedpao สาขา จตุจักรโครงการ 22 ริมถนน</t>
  </si>
  <si>
    <t>Yuedpao สาขา จตุจักรโครงการ 28</t>
  </si>
  <si>
    <t>Yuedpao สาขา Central Festival เชียงใหม่</t>
  </si>
  <si>
    <t>Yuedpao สาขา Central เชียงใหม่แอร์พอร์ต</t>
  </si>
  <si>
    <t>Yuedpao สาขา Central รามอินทรา</t>
  </si>
  <si>
    <t>Yuedpao สาขา จตุจักรโครงการ 6</t>
  </si>
  <si>
    <t>คงเหลือ/วัน</t>
  </si>
  <si>
    <t xml:space="preserve">งานประจำสัปดาห์ </t>
  </si>
  <si>
    <t xml:space="preserve">ระดับความมั่นใจ OKRs </t>
  </si>
  <si>
    <t xml:space="preserve">เขียน OKRs แต่ละตัวที่โฟกัสพร้อมให้คะแนน </t>
  </si>
  <si>
    <t>Object 1 : สร้างลูกค้าใหม่ให้แฮปปี้สู่ลกค้า Loyalty ประจำแบรนด์</t>
  </si>
  <si>
    <t xml:space="preserve">
KR 1 :  ลูกค้าสมาชิก Yuedpao กลับมาใช้บริการ 20% จากลูกค้าทั้งหมด 
  ( 8:10  )</t>
  </si>
  <si>
    <t xml:space="preserve">KR 2 : ความพึงพอใจจากลูกค้าจะต้องมากกว่า 95% ทุกหัวข้อจากแบบประเมิน 
</t>
  </si>
  <si>
    <t>KR 3 : ทุกสาขาจะต้องมีลูกค้าทำแบบประเมิน 10% จากจำนวน INV</t>
  </si>
  <si>
    <t xml:space="preserve">Object 2  : SALE Yuedpao สุดปัง ต้อนรับมังกรทอง </t>
  </si>
  <si>
    <t xml:space="preserve">KR 1 :  : สร้างยอดขายสุดปังให้บรรลุ 100% ในไตรมาส 
</t>
  </si>
  <si>
    <t xml:space="preserve">KR 2 :  ยอดขายต่อบิลทุกสาขาเพิ่มขึ้น 20% 
</t>
  </si>
  <si>
    <t>KR 3 : ยอดขายเฉลี่ยต่อสาขา 1,000,000 บาทต่อ/เดือน</t>
  </si>
  <si>
    <t xml:space="preserve">KR4 : ผลักดันปรับสัดส่วนการขาย High Value ต่อเนื่อง  70:30 </t>
  </si>
  <si>
    <t>งานที่กำลังจะเกิดขึ้นภายในเดือน</t>
  </si>
  <si>
    <t>ตัววัดด้านสุขภาพ (สุขภาพของทีมงานและลูกค้า )</t>
  </si>
  <si>
    <t xml:space="preserve">NO </t>
  </si>
  <si>
    <t>มี/ไม่มี</t>
  </si>
  <si>
    <t xml:space="preserve">จำนวน </t>
  </si>
  <si>
    <t xml:space="preserve">INV </t>
  </si>
  <si>
    <t>ต้องทำ</t>
  </si>
  <si>
    <t>ไม่มี</t>
  </si>
  <si>
    <t>SURVAY</t>
  </si>
  <si>
    <t>Branch</t>
  </si>
  <si>
    <t>#</t>
  </si>
  <si>
    <t>คลัง|สาขา</t>
  </si>
  <si>
    <t>จำนวนรายการ</t>
  </si>
  <si>
    <t>ยอดขาย(บาท)</t>
  </si>
  <si>
    <t>ยอดขาย(%)</t>
  </si>
  <si>
    <t>2</t>
  </si>
  <si>
    <t>Yuedpao สาขา Future Park Rangsit ชั้น 3</t>
  </si>
  <si>
    <t>3</t>
  </si>
  <si>
    <t>Yuedpao สาขา Central พัทยา</t>
  </si>
  <si>
    <t>4</t>
  </si>
  <si>
    <t>Yuedpao สาขา Central ลาดพร้าว</t>
  </si>
  <si>
    <t>5</t>
  </si>
  <si>
    <t>6</t>
  </si>
  <si>
    <t>Yuedpao สาขา Central เวสต์เกต</t>
  </si>
  <si>
    <t>7</t>
  </si>
  <si>
    <t>Yuedpao สาขา Central ขอนแก่น</t>
  </si>
  <si>
    <t>Yuedpao สาขา Central ศาลายา</t>
  </si>
  <si>
    <t>9</t>
  </si>
  <si>
    <t>Yuedpao สาขา Central สุราษฎร์ธานี</t>
  </si>
  <si>
    <t>10</t>
  </si>
  <si>
    <t>Yuedpao สาขา Robinson บ่อวิน</t>
  </si>
  <si>
    <t>12</t>
  </si>
  <si>
    <t>Yuedpao สาขา Central หาดใหญ่</t>
  </si>
  <si>
    <t>13</t>
  </si>
  <si>
    <t>Yuedpao สาขา Central พระราม 2</t>
  </si>
  <si>
    <t>14</t>
  </si>
  <si>
    <t>Yuedpao สาขา Central พิษณุโลก</t>
  </si>
  <si>
    <t>16</t>
  </si>
  <si>
    <t>Yuedpao สาขา The Mall งามวงศ์วาน</t>
  </si>
  <si>
    <t>17</t>
  </si>
  <si>
    <t>Yuedpao สาขา Central จันทบุรี</t>
  </si>
  <si>
    <t>Yuedpao สาขา Future Park Rangsit (Flagship store)</t>
  </si>
  <si>
    <t>19</t>
  </si>
  <si>
    <t>Yuedpao สาขา Robinson ภูเก็ต</t>
  </si>
  <si>
    <t>20</t>
  </si>
  <si>
    <t>Yuedpao สาขา Central ระยอง</t>
  </si>
  <si>
    <t>21</t>
  </si>
  <si>
    <t>Yuedpao สาขา Central นครศรีธรรมราช</t>
  </si>
  <si>
    <t>23</t>
  </si>
  <si>
    <t>Yuedpao สาขา Central ปิ่นเกล้า</t>
  </si>
  <si>
    <t>24</t>
  </si>
  <si>
    <t>25</t>
  </si>
  <si>
    <t>Yuedpao สาขา The Mall บางแค</t>
  </si>
  <si>
    <t>26</t>
  </si>
  <si>
    <t>Yuedpao สาขา Central สมุย</t>
  </si>
  <si>
    <t>27</t>
  </si>
  <si>
    <t>Yuedpao สาขา Central ภูเก็ต</t>
  </si>
  <si>
    <t>28</t>
  </si>
  <si>
    <t>29</t>
  </si>
  <si>
    <t>Yuedpao สาขา Central อุดรธานี</t>
  </si>
  <si>
    <t>30</t>
  </si>
  <si>
    <t>Yuedpao สาขา Robinson ฉะเชิงเทรา</t>
  </si>
  <si>
    <t>31</t>
  </si>
  <si>
    <t>Yuedpao สาขา Central มหาชัย</t>
  </si>
  <si>
    <t>32</t>
  </si>
  <si>
    <t>Yuedpao สาขา Robinson สุพรรณบุรี</t>
  </si>
  <si>
    <t>34</t>
  </si>
  <si>
    <t>Yuedpao สาขา Central ลำปาง</t>
  </si>
  <si>
    <t>Yuedpao สาขา Central อยุธยา</t>
  </si>
  <si>
    <t>36</t>
  </si>
  <si>
    <t>Yuedpao สาขา Mega บางนา</t>
  </si>
  <si>
    <t>37</t>
  </si>
  <si>
    <t>Yuedpao สาขา Central พระราม 9</t>
  </si>
  <si>
    <t>38</t>
  </si>
  <si>
    <t>Yuedpao สาขา Central World</t>
  </si>
  <si>
    <t>39</t>
  </si>
  <si>
    <t>Yuedpao สาขา The Mall โคราช</t>
  </si>
  <si>
    <t>40</t>
  </si>
  <si>
    <t>Yuedpao สาขา Robinson ลพบุรี</t>
  </si>
  <si>
    <t>41</t>
  </si>
  <si>
    <t>42</t>
  </si>
  <si>
    <t>Yuedpao สาขา Central ชลบุรี</t>
  </si>
  <si>
    <t>43</t>
  </si>
  <si>
    <t>Yuedpao สาขา The Mall ท่าพระ</t>
  </si>
  <si>
    <t>44</t>
  </si>
  <si>
    <t>46</t>
  </si>
  <si>
    <t>Yuedpao สาขา Central พระราม 3</t>
  </si>
  <si>
    <t>47</t>
  </si>
  <si>
    <t>48</t>
  </si>
  <si>
    <t>Yuedpao สาขา Central ศรีราชา</t>
  </si>
  <si>
    <t>49</t>
  </si>
  <si>
    <t>50</t>
  </si>
  <si>
    <t>Yuedpao สาขา Robinson ราชพฤกษ์</t>
  </si>
  <si>
    <t>51</t>
  </si>
  <si>
    <t>Yuedpao สาขา Robinson บ้านฉาง</t>
  </si>
  <si>
    <t>52</t>
  </si>
  <si>
    <t>Yuedpao สาขา Central โคราช</t>
  </si>
  <si>
    <t>54</t>
  </si>
  <si>
    <t>55</t>
  </si>
  <si>
    <t>Yuedpao สาขา Robinson ฉลอง ภูเก็ต</t>
  </si>
  <si>
    <t>57</t>
  </si>
  <si>
    <t>59</t>
  </si>
  <si>
    <t>60</t>
  </si>
  <si>
    <t>61</t>
  </si>
  <si>
    <t>62</t>
  </si>
  <si>
    <t>64</t>
  </si>
  <si>
    <t>66</t>
  </si>
  <si>
    <t>Exported by</t>
  </si>
  <si>
    <t>janjoncj@gmail.com</t>
  </si>
  <si>
    <t>Date Time</t>
  </si>
  <si>
    <t>Yuedpao สาขา Central อุบลราชธานี</t>
  </si>
  <si>
    <t>Yuedpao สาขา Passione Shopping Destination ระยอง</t>
  </si>
  <si>
    <t>Yuedpao สาขา Central นครปฐม</t>
  </si>
  <si>
    <t>Yuedpao สาขา Seacon Square ศรีนครินทร์</t>
  </si>
  <si>
    <t>No</t>
  </si>
  <si>
    <t>11</t>
  </si>
  <si>
    <t>15</t>
  </si>
  <si>
    <t>22</t>
  </si>
  <si>
    <t>45</t>
  </si>
  <si>
    <t>65</t>
  </si>
  <si>
    <t>67</t>
  </si>
  <si>
    <t>Yuedpao สาขา Market Village สุวรรณภูมิ</t>
  </si>
  <si>
    <t>68</t>
  </si>
  <si>
    <t>1</t>
  </si>
  <si>
    <t>คลังสินค้า Yuedpao Online</t>
  </si>
  <si>
    <t>8</t>
  </si>
  <si>
    <t>18</t>
  </si>
  <si>
    <t>คลังลูกค้าส่ง Yuedpao</t>
  </si>
  <si>
    <t>33</t>
  </si>
  <si>
    <t>35</t>
  </si>
  <si>
    <t>53</t>
  </si>
  <si>
    <t>56</t>
  </si>
  <si>
    <t>58</t>
  </si>
  <si>
    <t>63</t>
  </si>
  <si>
    <t>Yuedpao สาขา Robinson บุรีรัมย์</t>
  </si>
  <si>
    <t>% INV</t>
  </si>
  <si>
    <t>TOTAL AREA</t>
  </si>
  <si>
    <t>69</t>
  </si>
  <si>
    <t>70</t>
  </si>
  <si>
    <t>TARGET +V7%</t>
  </si>
  <si>
    <t>TOTAL</t>
  </si>
  <si>
    <t>Event Big C สุขสวัสดิ์</t>
  </si>
  <si>
    <t>INV</t>
  </si>
  <si>
    <t>MEMBER</t>
  </si>
  <si>
    <t>Yuedpao สาขา Robinson ลาดกระบัง</t>
  </si>
  <si>
    <t>SALE OUT</t>
  </si>
  <si>
    <t>Yuedpao สาขา Robinson ปราจีนบุรี</t>
  </si>
  <si>
    <t>71</t>
  </si>
  <si>
    <t>72</t>
  </si>
  <si>
    <t>73</t>
  </si>
  <si>
    <t>MANPOWER</t>
  </si>
  <si>
    <t>STAFF</t>
  </si>
  <si>
    <t>SHOP</t>
  </si>
  <si>
    <t>74</t>
  </si>
  <si>
    <t>75</t>
  </si>
  <si>
    <t>KPI</t>
  </si>
  <si>
    <t>ALV SALE</t>
  </si>
  <si>
    <t>STK HOLDING</t>
  </si>
  <si>
    <t>CONVERSION</t>
  </si>
  <si>
    <t>INTERACTION</t>
  </si>
  <si>
    <t>GREETING</t>
  </si>
  <si>
    <t>ACHIEVE</t>
  </si>
  <si>
    <t>คงเหลือ 110</t>
  </si>
  <si>
    <t>คงเหลือ 120</t>
  </si>
  <si>
    <t>Group</t>
  </si>
  <si>
    <t>Performance group area</t>
  </si>
  <si>
    <t>0%</t>
  </si>
  <si>
    <t>COMPLAIN</t>
  </si>
  <si>
    <t>คลังสินค้ารับคืน Yuedpao Online</t>
  </si>
  <si>
    <t>WEEK END</t>
  </si>
  <si>
    <t>WEEK DAY</t>
  </si>
  <si>
    <t>แพลนของเดือน Sep 2024</t>
  </si>
  <si>
    <t>วางแผนสร้างยอดขายให้ถึง Targrt ที่ตั่งไว้</t>
  </si>
  <si>
    <t>ยอดขาย AVL Sale ผ่านทุกสาขา</t>
  </si>
  <si>
    <t>เป้าหมาย Conversion Rate ให้ได้มากกว่า 35%</t>
  </si>
  <si>
    <t>AVL SALE TO DAY</t>
  </si>
  <si>
    <t>คลังสินค้าโล๊ะล้างสต๊อก(เสื้อตำหนิ)</t>
  </si>
  <si>
    <t>ประชุม Shop 2/10</t>
  </si>
  <si>
    <t>Set up BTS สยาม 30/09</t>
  </si>
  <si>
    <t xml:space="preserve">Visit Shop ตจว </t>
  </si>
  <si>
    <t>ประชุมกับสาขาที่ยังทำ Palexy ที่ยังไม่ผ่านครบทุกหัวข้อ</t>
  </si>
  <si>
    <t>Yuedpao สาขา The Street รัชดา</t>
  </si>
  <si>
    <t>76</t>
  </si>
  <si>
    <t>77</t>
  </si>
  <si>
    <t>Yuedpao สาขา MAYA เชียงใหม่</t>
  </si>
  <si>
    <t>เปรียบเทียบสัปดาห์</t>
  </si>
  <si>
    <t>เปรียบเทียบเดือน</t>
  </si>
  <si>
    <t>เปรียบเทียบปี</t>
  </si>
  <si>
    <t>ALV SALE DAY</t>
  </si>
  <si>
    <t xml:space="preserve">TOTAL </t>
  </si>
  <si>
    <t>Yuedpao สาขา Imperial World สำโรง</t>
  </si>
  <si>
    <t>ชื่อคลัง/สาขา</t>
  </si>
  <si>
    <t>Yuedpao สาขา BigC ยะลา</t>
  </si>
  <si>
    <t>SALE +7%</t>
  </si>
  <si>
    <t>%</t>
  </si>
  <si>
    <t>จำนวน</t>
  </si>
  <si>
    <t>มา ส-อา และวันที่พนักงานประจำหยุด</t>
  </si>
  <si>
    <t xml:space="preserve">Yuedpao สาขา BigC ยะลา </t>
  </si>
  <si>
    <t>ON TIME GREETING</t>
  </si>
  <si>
    <t>Total</t>
  </si>
  <si>
    <t>SALE YUEDPAO ALL SHOP SEP 2024</t>
  </si>
  <si>
    <t xml:space="preserve">GENG </t>
  </si>
  <si>
    <t>MIX</t>
  </si>
  <si>
    <t>BOOM</t>
  </si>
  <si>
    <t>BEN</t>
  </si>
  <si>
    <t>Namkhang</t>
  </si>
  <si>
    <t>PIM</t>
  </si>
  <si>
    <t>GROUP 1</t>
  </si>
  <si>
    <t>GROUP 2</t>
  </si>
  <si>
    <t>GROUP 3</t>
  </si>
  <si>
    <t>GROUP 4</t>
  </si>
  <si>
    <t>GROUP 5</t>
  </si>
  <si>
    <t xml:space="preserve">เบน </t>
  </si>
  <si>
    <t>เก่ง</t>
  </si>
  <si>
    <t>OPEN 8 APR'24</t>
  </si>
  <si>
    <t>OPEN 1 APR'24</t>
  </si>
  <si>
    <t>MoM</t>
  </si>
  <si>
    <t>WoW</t>
  </si>
  <si>
    <t>In Vat7%</t>
  </si>
  <si>
    <t>Ex Vat7%</t>
  </si>
  <si>
    <t>0.34%</t>
  </si>
  <si>
    <t>Yuedpao สาขา Robinson มุกดาหาร</t>
  </si>
  <si>
    <t>Event Central แจ้งวัฒนะ</t>
  </si>
  <si>
    <t>ยอดขาย</t>
  </si>
  <si>
    <t>AVL Sale</t>
  </si>
  <si>
    <t>Estimate</t>
  </si>
  <si>
    <t>Achieve</t>
  </si>
  <si>
    <t xml:space="preserve">STOCK HOLDING </t>
  </si>
  <si>
    <t>Yuedpao สาขา Big C ยะลา</t>
  </si>
  <si>
    <t>Yuedpao สาขา Robinson ราชบุรี</t>
  </si>
  <si>
    <t>Yuedpao สาขา I am China Town</t>
  </si>
  <si>
    <t>0.64%</t>
  </si>
  <si>
    <t xml:space="preserve">TOTAL SAME STORE </t>
  </si>
  <si>
    <t>78</t>
  </si>
  <si>
    <t>79</t>
  </si>
  <si>
    <t>80</t>
  </si>
  <si>
    <t>81</t>
  </si>
  <si>
    <t>82</t>
  </si>
  <si>
    <t>TOTAL ALL STORE</t>
  </si>
  <si>
    <t>Target</t>
  </si>
  <si>
    <t>Sale out</t>
  </si>
  <si>
    <t>%Target</t>
  </si>
  <si>
    <t xml:space="preserve">Exchange Store </t>
  </si>
  <si>
    <t>Yuedpao สาขา Robinson สระบุรี</t>
  </si>
  <si>
    <t>Yuedpao สาขา Robinson ชลบุรี</t>
  </si>
  <si>
    <t>83</t>
  </si>
  <si>
    <t>ยอดรวม</t>
  </si>
  <si>
    <t>ยอดขายเฉลี่ยนต่อวัน</t>
  </si>
  <si>
    <t>Sale Estimate</t>
  </si>
  <si>
    <t>SALE OUT ESTIMATE</t>
  </si>
  <si>
    <t>84</t>
  </si>
  <si>
    <t>85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</si>
  <si>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</si>
  <si>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</si>
  <si>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</si>
  <si>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</si>
  <si>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</si>
  <si>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</si>
  <si>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</si>
  <si>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</si>
  <si>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</si>
  <si>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</si>
  <si>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</si>
  <si>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</si>
  <si>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Ex.V7%</t>
  </si>
  <si>
    <t>YoY</t>
  </si>
  <si>
    <t>Mom</t>
  </si>
  <si>
    <t>1.00</t>
  </si>
  <si>
    <t>ปี 2025</t>
  </si>
  <si>
    <t>86</t>
  </si>
  <si>
    <t>คลังโล๊ะล้างสต็อก Yuedpao สาขา SIAM SQUARE(เสื้อตำหนิ)</t>
  </si>
  <si>
    <t>0.55%</t>
  </si>
  <si>
    <t>คลังรับคืน สินค้าโล๊ะล้างสต๊อก(เสื้อตำหนิ)</t>
  </si>
  <si>
    <t>-0%</t>
  </si>
  <si>
    <t>0.46%</t>
  </si>
  <si>
    <t>SALE OUT ESTIMATE +50%</t>
  </si>
  <si>
    <t xml:space="preserve"> </t>
  </si>
  <si>
    <t>Yuedpao สาขา Robinson ศรีสมาน</t>
  </si>
  <si>
    <t>0.45%</t>
  </si>
  <si>
    <t>Yuedpao สาขา Robinson ตรัง</t>
  </si>
  <si>
    <t>Yuedpao สาขา Robinson ชัยภูมิ</t>
  </si>
  <si>
    <t>GENG</t>
  </si>
  <si>
    <t>INK</t>
  </si>
  <si>
    <t>%TARGET</t>
  </si>
  <si>
    <t>Yuedpao สาขา Robinson ร้อยเอ็ด</t>
  </si>
  <si>
    <t>Yuedpao สาขา Central กระบี่</t>
  </si>
  <si>
    <t>Yuedpao สาขา The Mall งามวงศ์วาน (Sport Shop)</t>
  </si>
  <si>
    <t>87</t>
  </si>
  <si>
    <t>88</t>
  </si>
  <si>
    <t>Group Area</t>
  </si>
  <si>
    <t>All group</t>
  </si>
  <si>
    <t>0.31%</t>
  </si>
  <si>
    <t>89</t>
  </si>
  <si>
    <t>90</t>
  </si>
  <si>
    <t>91</t>
  </si>
  <si>
    <t>Event สหไทย ทุ่งสง (นครศรีธรรมราช)</t>
  </si>
  <si>
    <t>ปรับ STK วันที่ 21/10/68</t>
  </si>
  <si>
    <t>Yuedpao สาขา Robinson แม่สอด</t>
  </si>
  <si>
    <t>OPEN 01 NOV 2024</t>
  </si>
  <si>
    <t>Yuedpao สาขา Big C อำนาจเจริญ</t>
  </si>
  <si>
    <t>Yuedpao สาขา Big C ราชดำริ</t>
  </si>
  <si>
    <t>92</t>
  </si>
  <si>
    <t>93</t>
  </si>
  <si>
    <t>0.8%</t>
  </si>
  <si>
    <t>0.43%</t>
  </si>
  <si>
    <t>0.41%</t>
  </si>
  <si>
    <t>Event Robinson กาญจนบุรี</t>
  </si>
  <si>
    <t>Event Bluport หัวหิน</t>
  </si>
  <si>
    <t>Yuedpao สาขา Robinson สมุทรปราการ</t>
  </si>
  <si>
    <t>Yuedpao สาขา Sermthai Complex มหาสารคาม</t>
  </si>
  <si>
    <t>Event The Ocean ชุมพร</t>
  </si>
  <si>
    <t>0</t>
  </si>
  <si>
    <t>Event 4EVE 5th Anniversary Party “ Love me 4Ever, Love you 5Ever "</t>
  </si>
  <si>
    <t>Event Central ชลบุรี</t>
  </si>
  <si>
    <t>Fulfillment Shopee</t>
  </si>
  <si>
    <t>Event Robinson สกลนคร</t>
  </si>
  <si>
    <t>0.69%</t>
  </si>
  <si>
    <t>0.94%</t>
  </si>
  <si>
    <t>26-01</t>
  </si>
  <si>
    <t>0.47%</t>
  </si>
  <si>
    <t xml:space="preserve">	Yuedpao สาขา Robinson ร้อยเอ็ด</t>
  </si>
  <si>
    <t xml:space="preserve">	Yuedpao สาขา Robinson แม่สอด</t>
  </si>
  <si>
    <t xml:space="preserve">	Yuedpao สาขา Robinson กาญจนบุรี</t>
  </si>
  <si>
    <t>0.73%</t>
  </si>
  <si>
    <t>JAN'2026</t>
  </si>
  <si>
    <t>คลังสินค้าหลัก Yuedpao</t>
  </si>
  <si>
    <t>94</t>
  </si>
  <si>
    <t>95</t>
  </si>
  <si>
    <t>96</t>
  </si>
  <si>
    <t>97</t>
  </si>
  <si>
    <t>98</t>
  </si>
  <si>
    <t>OPEN 01 AUN 2024</t>
  </si>
  <si>
    <t>REROCATE  16 DEC 2025</t>
  </si>
  <si>
    <t>OPEN 20 DEC 2024</t>
  </si>
  <si>
    <t>OPEN 01 JUN 2024</t>
  </si>
  <si>
    <t>OPEN 15 NOV 2024</t>
  </si>
  <si>
    <t>REROCATE  01 DEC 2024</t>
  </si>
  <si>
    <t>REROCATE  05 FEB 2024</t>
  </si>
  <si>
    <t>REROCATE 01 DEC 2024</t>
  </si>
  <si>
    <t>Yuedpao สาขา Robinson ถลาง ภูเก็ต</t>
  </si>
  <si>
    <t>0.9%</t>
  </si>
  <si>
    <t>0.68%</t>
  </si>
  <si>
    <t>0.65%</t>
  </si>
  <si>
    <t>99</t>
  </si>
  <si>
    <t>100</t>
  </si>
  <si>
    <t>0.86%</t>
  </si>
  <si>
    <t>Event Artifact</t>
  </si>
  <si>
    <t>Event PiXXiE Tales Concert : The Enchanted Ceremony</t>
  </si>
  <si>
    <t>Event Muuji Festival 2026</t>
  </si>
  <si>
    <t>0.22%</t>
  </si>
  <si>
    <t>0.71%</t>
  </si>
  <si>
    <t>0.54%</t>
  </si>
  <si>
    <t>Event Friday อุตรดิตถ์</t>
  </si>
  <si>
    <t>ว่าง116</t>
  </si>
  <si>
    <t>-</t>
  </si>
  <si>
    <t>0.78%</t>
  </si>
  <si>
    <t>คลังพัสดุ (คอนเสิร์ต)</t>
  </si>
  <si>
    <t>มาวันนักขัติฯ</t>
  </si>
  <si>
    <t>0.66%</t>
  </si>
  <si>
    <t>0.33%</t>
  </si>
  <si>
    <t>Yuedpao สาขา Lotus สามกอง ภูเก็ต</t>
  </si>
  <si>
    <t>0.02%</t>
  </si>
  <si>
    <t>1.13%</t>
  </si>
  <si>
    <t>0.51%</t>
  </si>
  <si>
    <t>0.48%</t>
  </si>
  <si>
    <t>0.36%</t>
  </si>
  <si>
    <t>0.96%</t>
  </si>
  <si>
    <t>0.75%</t>
  </si>
  <si>
    <t>0.37%</t>
  </si>
  <si>
    <t>0.62%</t>
  </si>
  <si>
    <t>0.58%</t>
  </si>
  <si>
    <t>0.4%</t>
  </si>
  <si>
    <t>0.81%</t>
  </si>
  <si>
    <t>0.7%</t>
  </si>
  <si>
    <t>0.5%</t>
  </si>
  <si>
    <t>0.35%</t>
  </si>
  <si>
    <t>Event สหไทย สุราษฏร์ธานี</t>
  </si>
  <si>
    <t>0.11%</t>
  </si>
  <si>
    <t>0.01%</t>
  </si>
  <si>
    <t>UPDATE SURVAY &amp; MEMBER FEB 2025</t>
  </si>
  <si>
    <t>STOCK HOLDING FEB 2026</t>
  </si>
  <si>
    <t>SALE OUT FEB 2025</t>
  </si>
  <si>
    <t>TARGET FEB 2026</t>
  </si>
  <si>
    <t>Yuedpao สาขา Sahathai สุราษฎร์ธานี</t>
  </si>
  <si>
    <t>FEB'2026</t>
  </si>
  <si>
    <t>0.67%</t>
  </si>
  <si>
    <t>0.59%</t>
  </si>
  <si>
    <t>0.38%</t>
  </si>
  <si>
    <t>Event แจ่มฟ้าลำพูน</t>
  </si>
  <si>
    <t>Event Big C ตะกั่วป่า พังงา</t>
  </si>
  <si>
    <t>คลังเทสระบบ</t>
  </si>
  <si>
    <t>Event The Peech Man Show Concert</t>
  </si>
  <si>
    <t>02-08</t>
  </si>
  <si>
    <t>09-15</t>
  </si>
  <si>
    <t>16-22</t>
  </si>
  <si>
    <t>23-01</t>
  </si>
  <si>
    <t>0.91%</t>
  </si>
  <si>
    <t>0.77%</t>
  </si>
  <si>
    <t>0.82%</t>
  </si>
  <si>
    <t>0.27%</t>
  </si>
  <si>
    <t>-0.01%</t>
  </si>
  <si>
    <t>คลังลูกค้าส่ง Yuedpao 2</t>
  </si>
  <si>
    <t>Event Melody Of Life 2025</t>
  </si>
  <si>
    <t>Greasy concert</t>
  </si>
  <si>
    <t>0.63%</t>
  </si>
  <si>
    <t>0.61%</t>
  </si>
  <si>
    <t>0.57%</t>
  </si>
  <si>
    <t>0.44%</t>
  </si>
  <si>
    <t>0.26%</t>
  </si>
  <si>
    <t>0.12%</t>
  </si>
  <si>
    <t>Event Century อ่อนนุช</t>
  </si>
  <si>
    <t>101</t>
  </si>
  <si>
    <t>0.83%</t>
  </si>
  <si>
    <t>0.6%</t>
  </si>
  <si>
    <t>0.39%</t>
  </si>
  <si>
    <t>0.23%</t>
  </si>
  <si>
    <t>Event HAPPY 6TH BIRTHDAY MOOTOO gether</t>
  </si>
  <si>
    <t>Event Mixt Chatuchak</t>
  </si>
  <si>
    <t>Whal &amp; Dolph Ocean Park Concert</t>
  </si>
  <si>
    <t>102</t>
  </si>
  <si>
    <t>Event Colorists Festival 4</t>
  </si>
  <si>
    <t>103</t>
  </si>
  <si>
    <t>104</t>
  </si>
  <si>
    <t>105</t>
  </si>
  <si>
    <t>Yuedpao สินค้าสั่งผลิต</t>
  </si>
  <si>
    <t>0.1%</t>
  </si>
  <si>
    <t>คลังสินค้ามีตำหนิ Yuedpao</t>
  </si>
  <si>
    <t>0.85%</t>
  </si>
  <si>
    <t>0.18%</t>
  </si>
  <si>
    <t>Event Century อนุสาวรีย์</t>
  </si>
  <si>
    <t>0.05%</t>
  </si>
  <si>
    <t>0.03%</t>
  </si>
  <si>
    <t>106</t>
  </si>
  <si>
    <t>1.44%</t>
  </si>
  <si>
    <t>1.1%</t>
  </si>
  <si>
    <t>0.98%</t>
  </si>
  <si>
    <t>0.72%</t>
  </si>
  <si>
    <t>0.52%</t>
  </si>
  <si>
    <t>Event Market Village หัวหิน</t>
  </si>
  <si>
    <t>Event Robinson ตรัง</t>
  </si>
  <si>
    <t>1.09%</t>
  </si>
  <si>
    <t>0.3%</t>
  </si>
  <si>
    <t>0.89%</t>
  </si>
  <si>
    <t>1.01%</t>
  </si>
  <si>
    <t>0.17%</t>
  </si>
  <si>
    <t>Event GELBOYS CLOSE FAN MEETING</t>
  </si>
  <si>
    <t>2-6</t>
  </si>
  <si>
    <t>7-8</t>
  </si>
  <si>
    <t>9-13</t>
  </si>
  <si>
    <t>14-15</t>
  </si>
  <si>
    <t>16-20</t>
  </si>
  <si>
    <t>21-22</t>
  </si>
  <si>
    <t>23-27</t>
  </si>
  <si>
    <t>0.56%</t>
  </si>
  <si>
    <t>0.2%</t>
  </si>
  <si>
    <t>107</t>
  </si>
  <si>
    <t>0.87%</t>
  </si>
  <si>
    <t>0.28%</t>
  </si>
  <si>
    <t>0.79%</t>
  </si>
  <si>
    <t>0.76%</t>
  </si>
  <si>
    <t>0.49%</t>
  </si>
  <si>
    <t>0.42%</t>
  </si>
  <si>
    <t>0.07%</t>
  </si>
  <si>
    <t>0.04%</t>
  </si>
  <si>
    <t>Event Pet Variety CNX</t>
  </si>
  <si>
    <t>108</t>
  </si>
  <si>
    <t>-0.9%</t>
  </si>
  <si>
    <t>1.67%</t>
  </si>
  <si>
    <t>1.27%</t>
  </si>
  <si>
    <t>1.11%</t>
  </si>
  <si>
    <t>1.03%</t>
  </si>
  <si>
    <t>0.93%</t>
  </si>
  <si>
    <t>0.92%</t>
  </si>
  <si>
    <t>มูลนิธิ Greenwave</t>
  </si>
  <si>
    <t>ยอดขายรายคลัง|สาขา 1/2/2569 - 28/2/2569</t>
  </si>
  <si>
    <t>1.18%</t>
  </si>
  <si>
    <t>1.05%</t>
  </si>
  <si>
    <t>0.97%</t>
  </si>
  <si>
    <t>0.29%</t>
  </si>
  <si>
    <t>0.19%</t>
  </si>
  <si>
    <t>0.13%</t>
  </si>
  <si>
    <t>Event Vogue กระบี่</t>
  </si>
  <si>
    <t>109</t>
  </si>
  <si>
    <t>110</t>
  </si>
  <si>
    <t>ยอดขายรายคลัง|สาขา 1/2/2568 - 28/2/2568</t>
  </si>
  <si>
    <t>38.46%</t>
  </si>
  <si>
    <t>1.8%</t>
  </si>
  <si>
    <t>1.66%</t>
  </si>
  <si>
    <t>1.6%</t>
  </si>
  <si>
    <t>1.4%</t>
  </si>
  <si>
    <t>1.38%</t>
  </si>
  <si>
    <t>1.37%</t>
  </si>
  <si>
    <t>1.29%</t>
  </si>
  <si>
    <t>1.24%</t>
  </si>
  <si>
    <t>-0.41%</t>
  </si>
  <si>
    <t>49.33%</t>
  </si>
  <si>
    <t>1.46%</t>
  </si>
  <si>
    <t>1.21%</t>
  </si>
  <si>
    <t>1.07%</t>
  </si>
  <si>
    <t>4/3/2026 10:17+07:00</t>
  </si>
  <si>
    <t>ยอดขายรายคลัง|สาขา 1/1/2569 - 31/1/2569</t>
  </si>
  <si>
    <t>42.5%</t>
  </si>
  <si>
    <t>1.81%</t>
  </si>
  <si>
    <t>1.41%</t>
  </si>
  <si>
    <t>1.25%</t>
  </si>
  <si>
    <t>1.16%</t>
  </si>
  <si>
    <t>1.06%</t>
  </si>
  <si>
    <t>0.99%</t>
  </si>
  <si>
    <t>0.74%</t>
  </si>
  <si>
    <t>0.53%</t>
  </si>
  <si>
    <t>0.21%</t>
  </si>
  <si>
    <t>0.16%</t>
  </si>
  <si>
    <t>-0.86%</t>
  </si>
  <si>
    <t>4/3/2026 10:19+07:00</t>
  </si>
  <si>
    <t>4/3/2026 10:21+07:00</t>
  </si>
  <si>
    <t>01-28 FEB 2026</t>
  </si>
  <si>
    <t>16/47</t>
  </si>
  <si>
    <t>+1.57%</t>
  </si>
  <si>
    <t>+3.94%</t>
  </si>
  <si>
    <t>+2.54%</t>
  </si>
  <si>
    <t>+4.92%</t>
  </si>
  <si>
    <t>มี</t>
  </si>
  <si>
    <t>In Vat</t>
  </si>
  <si>
    <t>Ex Vat</t>
  </si>
  <si>
    <t>Yuedpao สาขา Robinson กำแพงเพชร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</si>
</sst>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87" formatCode="_(* #,##0_);_(* \(#,##0\);_(* &quot;-&quot;??_);_(@_)"/>
    <numFmt numFmtId="188" formatCode="&quot;฿&quot;#,##0.00"/>
    <numFmt numFmtId="189" formatCode="[Blue]#,##0.00;[Red]\(#,##0.00\);[Black]0.00"/>
    <numFmt numFmtId="190" formatCode="B1mmm\-yy"/>
    <numFmt numFmtId="191" formatCode="0.00%;[Red]\-0.00%"/>
    <numFmt numFmtId="192" formatCode="#,000;[Red]\-#,000"/>
    <numFmt numFmtId="193" formatCode="0.00;[Red]\-0.00"/>
  </numFmts>
  <fonts count="61" x14ac:knownFonts="1"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b/>
      <u/>
      <sz val="16"/>
      <color rgb="FF000000"/>
      <name val="Tahoma"/>
      <family val="2"/>
      <scheme val="minor"/>
    </font>
    <font>
      <sz val="16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b/>
      <sz val="20"/>
      <color theme="1"/>
      <name val="Tahoma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6"/>
      <color theme="0"/>
      <name val="Tahoma"/>
      <family val="2"/>
      <scheme val="minor"/>
    </font>
    <font>
      <sz val="26"/>
      <color theme="1"/>
      <name val="Tahoma"/>
      <family val="2"/>
      <charset val="222"/>
      <scheme val="minor"/>
    </font>
    <font>
      <sz val="26"/>
      <color theme="0"/>
      <name val="Tahoma"/>
      <family val="2"/>
      <charset val="222"/>
      <scheme val="minor"/>
    </font>
    <font>
      <sz val="12"/>
      <color theme="1"/>
      <name val="Helvetica Neue"/>
      <family val="2"/>
    </font>
    <font>
      <sz val="16"/>
      <color theme="0"/>
      <name val="Tahoma"/>
      <family val="2"/>
      <scheme val="minor"/>
    </font>
    <font>
      <sz val="16"/>
      <name val="Tahoma"/>
      <family val="2"/>
      <scheme val="minor"/>
    </font>
    <font>
      <sz val="16"/>
      <color rgb="FFFF0000"/>
      <name val="Tahoma"/>
      <family val="2"/>
      <scheme val="minor"/>
    </font>
    <font>
      <sz val="16"/>
      <color rgb="FF0070C0"/>
      <name val="Tahoma"/>
      <family val="2"/>
      <scheme val="minor"/>
    </font>
    <font>
      <b/>
      <sz val="18"/>
      <color theme="1"/>
      <name val="Cordia New"/>
      <family val="2"/>
    </font>
    <font>
      <b/>
      <sz val="18"/>
      <name val="Cordia New"/>
      <family val="2"/>
    </font>
    <font>
      <sz val="18"/>
      <color theme="1"/>
      <name val="Cordia New"/>
      <family val="2"/>
    </font>
    <font>
      <b/>
      <sz val="18"/>
      <color theme="0"/>
      <name val="Cordia New"/>
      <family val="2"/>
    </font>
    <font>
      <b/>
      <sz val="18"/>
      <color rgb="FFED0000"/>
      <name val="Cordia New"/>
      <family val="2"/>
    </font>
    <font>
      <b/>
      <sz val="22"/>
      <name val="Cordia New"/>
      <family val="2"/>
    </font>
    <font>
      <b/>
      <sz val="22"/>
      <color theme="0"/>
      <name val="Cordia New"/>
      <family val="2"/>
    </font>
    <font>
      <b/>
      <sz val="20"/>
      <color theme="1"/>
      <name val="Cordia New"/>
      <family val="2"/>
    </font>
    <font>
      <sz val="36"/>
      <color theme="1"/>
      <name val="Tahoma"/>
      <family val="2"/>
      <charset val="222"/>
      <scheme val="minor"/>
    </font>
    <font>
      <b/>
      <sz val="72"/>
      <color theme="1"/>
      <name val="Cordia New"/>
      <family val="2"/>
    </font>
    <font>
      <b/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name val="Tahoma"/>
      <family val="2"/>
    </font>
    <font>
      <b/>
      <sz val="14"/>
      <color rgb="FFFF0000"/>
      <name val="Tahoma"/>
      <family val="2"/>
    </font>
    <font>
      <b/>
      <sz val="14"/>
      <color rgb="FF000000"/>
      <name val="Tahoma"/>
      <family val="2"/>
    </font>
    <font>
      <b/>
      <sz val="14"/>
      <color theme="0"/>
      <name val="Tahoma"/>
      <family val="2"/>
    </font>
    <font>
      <b/>
      <sz val="14"/>
      <color rgb="FF0100D5"/>
      <name val="Tahoma"/>
      <family val="2"/>
    </font>
    <font>
      <b/>
      <sz val="12"/>
      <color rgb="FFFF0000"/>
      <name val="Tahoma"/>
      <family val="2"/>
    </font>
    <font>
      <b/>
      <sz val="18"/>
      <color rgb="FF04A402"/>
      <name val="Cordia New"/>
      <family val="2"/>
    </font>
    <font>
      <b/>
      <sz val="18"/>
      <name val="Tahoma"/>
      <family val="2"/>
    </font>
    <font>
      <sz val="14"/>
      <color rgb="FFED0000"/>
      <name val="Cordia New"/>
      <family val="2"/>
      <charset val="222"/>
    </font>
    <font>
      <sz val="18"/>
      <color theme="0"/>
      <name val="Cordia New"/>
      <family val="2"/>
    </font>
    <font>
      <sz val="18"/>
      <name val="Cordia New"/>
      <family val="2"/>
    </font>
    <font>
      <sz val="18"/>
      <color rgb="FF000000"/>
      <name val="Cordia New"/>
      <family val="2"/>
    </font>
    <font>
      <sz val="18"/>
      <color rgb="FFFF0000"/>
      <name val="Cordia New"/>
      <family val="2"/>
    </font>
    <font>
      <b/>
      <sz val="16"/>
      <color theme="1"/>
      <name val="Tahoma"/>
      <family val="2"/>
    </font>
    <font>
      <b/>
      <sz val="22"/>
      <color theme="1"/>
      <name val="Cordia New"/>
      <family val="2"/>
    </font>
    <font>
      <b/>
      <sz val="16"/>
      <name val="Tahoma"/>
      <family val="2"/>
    </font>
    <font>
      <b/>
      <sz val="20"/>
      <name val="Cordia New"/>
      <family val="2"/>
    </font>
    <font>
      <b/>
      <sz val="14"/>
      <name val="Cordia New"/>
      <family val="2"/>
    </font>
    <font>
      <b/>
      <sz val="20"/>
      <color theme="0"/>
      <name val="Cordia New"/>
      <family val="2"/>
    </font>
    <font>
      <sz val="12"/>
      <color theme="0"/>
      <name val="Tahoma"/>
      <family val="2"/>
      <charset val="222"/>
      <scheme val="minor"/>
    </font>
    <font>
      <sz val="12"/>
      <name val="Tahoma"/>
      <family val="2"/>
      <charset val="222"/>
      <scheme val="minor"/>
    </font>
    <font>
      <sz val="12"/>
      <color theme="1"/>
      <name val="Arial"/>
      <family val="2"/>
    </font>
    <font>
      <b/>
      <sz val="12"/>
      <color theme="1"/>
      <name val="Helvetica Neue"/>
      <family val="2"/>
    </font>
    <font>
      <b/>
      <sz val="14"/>
      <color theme="4"/>
      <name val="Tahoma"/>
      <family val="2"/>
    </font>
    <font>
      <b/>
      <sz val="18"/>
      <color rgb="FFFF0000"/>
      <name val="Cordia New"/>
      <family val="2"/>
    </font>
    <font>
      <b/>
      <sz val="16"/>
      <color rgb="FFFF0000"/>
      <name val="Tahoma"/>
      <family val="2"/>
    </font>
    <font>
      <b/>
      <sz val="12"/>
      <color theme="1"/>
      <name val="Tahoma"/>
      <family val="2"/>
    </font>
    <font>
      <sz val="12"/>
      <color theme="1"/>
      <name val="Calibri"/>
      <family val="2"/>
    </font>
    <font>
      <sz val="14"/>
      <color theme="1"/>
      <name val="Arial"/>
      <family val="2"/>
    </font>
    <font>
      <sz val="10"/>
      <color theme="1"/>
      <name val="Sarabun"/>
      <family val="2"/>
      <charset val="222"/>
    </font>
  </fonts>
  <fills count="3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</patternFill>
    </fill>
    <fill>
      <patternFill patternType="solid">
        <fgColor rgb="FFFFFFFF"/>
      </patternFill>
    </fill>
    <fill>
      <patternFill patternType="solid">
        <fgColor rgb="FF00A4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4A402"/>
        <bgColor indexed="64"/>
      </patternFill>
    </fill>
    <fill>
      <patternFill patternType="solid">
        <fgColor rgb="FFE86864"/>
        <bgColor indexed="64"/>
      </patternFill>
    </fill>
    <fill>
      <patternFill patternType="solid">
        <fgColor rgb="FFB1E859"/>
        <bgColor indexed="64"/>
      </patternFill>
    </fill>
    <fill>
      <patternFill patternType="solid">
        <fgColor rgb="FFE86863"/>
        <bgColor indexed="64"/>
      </patternFill>
    </fill>
    <fill>
      <patternFill patternType="solid">
        <fgColor rgb="FFDEEBF8"/>
        <bgColor indexed="64"/>
      </patternFill>
    </fill>
    <fill>
      <patternFill patternType="solid">
        <fgColor rgb="FFEBF9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CFAF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7"/>
        <bgColor indexed="64"/>
      </patternFill>
    </fill>
    <fill>
      <patternFill patternType="solid">
        <fgColor rgb="FFEDFBF3"/>
        <bgColor indexed="64"/>
      </patternFill>
    </fill>
    <fill>
      <patternFill patternType="solid">
        <fgColor rgb="FFEFF3FB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1AD47"/>
        <bgColor indexed="64"/>
      </patternFill>
    </fill>
    <fill>
      <patternFill patternType="solid">
        <fgColor rgb="FFEEFCF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508">
    <xf numFmtId="0" fontId="0" fillId="0" borderId="0" xfId="0"/>
    <xf numFmtId="0" fontId="0" fillId="3" borderId="0" xfId="0" applyFill="1"/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readingOrder="1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6" fillId="0" borderId="4" xfId="0" applyFont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8" fillId="3" borderId="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89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2" fillId="3" borderId="0" xfId="0" applyFont="1" applyFill="1"/>
    <xf numFmtId="0" fontId="11" fillId="9" borderId="4" xfId="0" applyFont="1" applyFill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 applyAlignment="1">
      <alignment horizontal="center"/>
    </xf>
    <xf numFmtId="0" fontId="6" fillId="0" borderId="0" xfId="2" applyFont="1"/>
    <xf numFmtId="0" fontId="6" fillId="0" borderId="0" xfId="0" applyFont="1"/>
    <xf numFmtId="10" fontId="6" fillId="0" borderId="0" xfId="4" applyNumberFormat="1" applyFont="1"/>
    <xf numFmtId="9" fontId="6" fillId="0" borderId="0" xfId="4" applyFont="1"/>
    <xf numFmtId="0" fontId="6" fillId="3" borderId="4" xfId="2" applyFont="1" applyFill="1" applyBorder="1" applyAlignment="1">
      <alignment horizontal="left" vertical="center"/>
    </xf>
    <xf numFmtId="10" fontId="6" fillId="3" borderId="4" xfId="4" applyNumberFormat="1" applyFont="1" applyFill="1" applyBorder="1" applyAlignment="1">
      <alignment horizontal="left" vertical="center"/>
    </xf>
    <xf numFmtId="0" fontId="6" fillId="3" borderId="4" xfId="2" applyFont="1" applyFill="1" applyBorder="1" applyAlignment="1">
      <alignment vertical="center"/>
    </xf>
    <xf numFmtId="9" fontId="6" fillId="3" borderId="4" xfId="4" applyFont="1" applyFill="1" applyBorder="1" applyAlignment="1">
      <alignment vertical="center"/>
    </xf>
    <xf numFmtId="9" fontId="6" fillId="3" borderId="7" xfId="4" applyFont="1" applyFill="1" applyBorder="1" applyAlignment="1">
      <alignment vertical="center"/>
    </xf>
    <xf numFmtId="0" fontId="15" fillId="3" borderId="7" xfId="2" applyFont="1" applyFill="1" applyBorder="1" applyAlignment="1">
      <alignment horizontal="center" vertical="center"/>
    </xf>
    <xf numFmtId="187" fontId="6" fillId="0" borderId="0" xfId="3" applyNumberFormat="1" applyFont="1"/>
    <xf numFmtId="0" fontId="6" fillId="3" borderId="4" xfId="0" applyFont="1" applyFill="1" applyBorder="1" applyAlignment="1">
      <alignment horizontal="center" vertical="center"/>
    </xf>
    <xf numFmtId="10" fontId="6" fillId="3" borderId="4" xfId="4" applyNumberFormat="1" applyFont="1" applyFill="1" applyBorder="1" applyAlignment="1">
      <alignment horizontal="center" vertical="center"/>
    </xf>
    <xf numFmtId="10" fontId="16" fillId="3" borderId="4" xfId="4" applyNumberFormat="1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87" fontId="6" fillId="0" borderId="0" xfId="3" applyNumberFormat="1" applyFont="1" applyAlignment="1">
      <alignment horizontal="center" vertical="center"/>
    </xf>
    <xf numFmtId="187" fontId="6" fillId="0" borderId="0" xfId="0" applyNumberFormat="1" applyFont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3" borderId="4" xfId="2" applyFont="1" applyFill="1" applyBorder="1" applyAlignment="1">
      <alignment horizontal="center" vertical="center"/>
    </xf>
    <xf numFmtId="10" fontId="6" fillId="13" borderId="4" xfId="4" applyNumberFormat="1" applyFont="1" applyFill="1" applyBorder="1" applyAlignment="1">
      <alignment horizontal="center" vertical="center"/>
    </xf>
    <xf numFmtId="10" fontId="16" fillId="13" borderId="4" xfId="4" applyNumberFormat="1" applyFont="1" applyFill="1" applyBorder="1" applyAlignment="1">
      <alignment horizontal="center" vertical="center"/>
    </xf>
    <xf numFmtId="9" fontId="6" fillId="3" borderId="4" xfId="4" applyFont="1" applyFill="1" applyBorder="1" applyAlignment="1">
      <alignment horizontal="center" vertical="center"/>
    </xf>
    <xf numFmtId="9" fontId="16" fillId="3" borderId="4" xfId="4" applyFont="1" applyFill="1" applyBorder="1" applyAlignment="1">
      <alignment horizontal="center" vertical="center"/>
    </xf>
    <xf numFmtId="0" fontId="17" fillId="3" borderId="0" xfId="2" applyFont="1" applyFill="1" applyAlignment="1">
      <alignment horizontal="center" vertical="center"/>
    </xf>
    <xf numFmtId="0" fontId="16" fillId="16" borderId="4" xfId="0" applyFont="1" applyFill="1" applyBorder="1" applyAlignment="1">
      <alignment horizontal="center" vertical="center"/>
    </xf>
    <xf numFmtId="9" fontId="16" fillId="16" borderId="4" xfId="4" applyFont="1" applyFill="1" applyBorder="1" applyAlignment="1">
      <alignment horizontal="center" vertical="center"/>
    </xf>
    <xf numFmtId="0" fontId="18" fillId="3" borderId="4" xfId="2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left" vertical="center"/>
    </xf>
    <xf numFmtId="0" fontId="6" fillId="11" borderId="4" xfId="2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16" fillId="16" borderId="4" xfId="0" applyFont="1" applyFill="1" applyBorder="1" applyAlignment="1">
      <alignment horizontal="left" vertical="center"/>
    </xf>
    <xf numFmtId="0" fontId="16" fillId="15" borderId="4" xfId="0" applyFont="1" applyFill="1" applyBorder="1" applyAlignment="1">
      <alignment horizontal="left" vertical="center"/>
    </xf>
    <xf numFmtId="0" fontId="9" fillId="4" borderId="0" xfId="0" applyFont="1" applyFill="1"/>
    <xf numFmtId="0" fontId="19" fillId="0" borderId="0" xfId="0" applyFont="1"/>
    <xf numFmtId="0" fontId="19" fillId="0" borderId="0" xfId="0" applyFont="1" applyAlignment="1">
      <alignment vertical="center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/>
    <xf numFmtId="0" fontId="19" fillId="3" borderId="0" xfId="0" applyFont="1" applyFill="1" applyAlignment="1">
      <alignment vertical="center"/>
    </xf>
    <xf numFmtId="0" fontId="19" fillId="11" borderId="4" xfId="0" applyFont="1" applyFill="1" applyBorder="1" applyAlignment="1">
      <alignment horizontal="center" vertical="center"/>
    </xf>
    <xf numFmtId="17" fontId="19" fillId="11" borderId="4" xfId="0" quotePrefix="1" applyNumberFormat="1" applyFont="1" applyFill="1" applyBorder="1" applyAlignment="1">
      <alignment horizontal="center" vertical="center"/>
    </xf>
    <xf numFmtId="187" fontId="19" fillId="0" borderId="4" xfId="1" applyNumberFormat="1" applyFont="1" applyFill="1" applyBorder="1" applyAlignment="1">
      <alignment vertical="center"/>
    </xf>
    <xf numFmtId="10" fontId="20" fillId="0" borderId="4" xfId="0" applyNumberFormat="1" applyFont="1" applyBorder="1" applyAlignment="1">
      <alignment horizontal="right" vertical="center"/>
    </xf>
    <xf numFmtId="0" fontId="20" fillId="0" borderId="4" xfId="0" applyFont="1" applyBorder="1" applyAlignment="1">
      <alignment vertical="center"/>
    </xf>
    <xf numFmtId="187" fontId="19" fillId="0" borderId="4" xfId="1" applyNumberFormat="1" applyFont="1" applyFill="1" applyBorder="1" applyAlignment="1">
      <alignment horizontal="center" vertical="center"/>
    </xf>
    <xf numFmtId="10" fontId="20" fillId="0" borderId="4" xfId="5" applyNumberFormat="1" applyFont="1" applyFill="1" applyBorder="1" applyAlignment="1">
      <alignment horizontal="right" vertical="center"/>
    </xf>
    <xf numFmtId="1" fontId="19" fillId="0" borderId="4" xfId="0" applyNumberFormat="1" applyFont="1" applyBorder="1" applyAlignment="1">
      <alignment horizontal="center" vertical="center"/>
    </xf>
    <xf numFmtId="10" fontId="20" fillId="0" borderId="4" xfId="0" applyNumberFormat="1" applyFont="1" applyBorder="1" applyAlignment="1">
      <alignment vertical="center"/>
    </xf>
    <xf numFmtId="43" fontId="20" fillId="0" borderId="4" xfId="0" applyNumberFormat="1" applyFont="1" applyBorder="1" applyAlignment="1">
      <alignment horizontal="right" vertical="center"/>
    </xf>
    <xf numFmtId="2" fontId="20" fillId="0" borderId="4" xfId="0" applyNumberFormat="1" applyFont="1" applyBorder="1" applyAlignment="1">
      <alignment horizontal="center" vertical="center"/>
    </xf>
    <xf numFmtId="9" fontId="19" fillId="0" borderId="4" xfId="0" applyNumberFormat="1" applyFont="1" applyBorder="1" applyAlignment="1">
      <alignment horizontal="center" vertical="center"/>
    </xf>
    <xf numFmtId="10" fontId="20" fillId="0" borderId="4" xfId="0" quotePrefix="1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10" fontId="20" fillId="0" borderId="4" xfId="0" applyNumberFormat="1" applyFont="1" applyBorder="1" applyAlignment="1">
      <alignment horizontal="center" vertical="center"/>
    </xf>
    <xf numFmtId="10" fontId="20" fillId="0" borderId="4" xfId="5" quotePrefix="1" applyNumberFormat="1" applyFont="1" applyFill="1" applyBorder="1" applyAlignment="1">
      <alignment horizontal="center" vertical="center"/>
    </xf>
    <xf numFmtId="1" fontId="19" fillId="0" borderId="4" xfId="0" quotePrefix="1" applyNumberFormat="1" applyFont="1" applyBorder="1" applyAlignment="1">
      <alignment horizontal="center" vertical="center"/>
    </xf>
    <xf numFmtId="0" fontId="19" fillId="3" borderId="0" xfId="0" applyFont="1" applyFill="1" applyAlignment="1">
      <alignment horizontal="left" vertical="top"/>
    </xf>
    <xf numFmtId="0" fontId="19" fillId="11" borderId="4" xfId="2" applyFont="1" applyFill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21" fillId="0" borderId="0" xfId="0" applyFont="1"/>
    <xf numFmtId="0" fontId="20" fillId="3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2" fillId="18" borderId="4" xfId="0" applyFont="1" applyFill="1" applyBorder="1" applyAlignment="1">
      <alignment horizontal="center" vertical="center"/>
    </xf>
    <xf numFmtId="0" fontId="20" fillId="19" borderId="4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vertical="center"/>
    </xf>
    <xf numFmtId="187" fontId="19" fillId="0" borderId="4" xfId="1" applyNumberFormat="1" applyFont="1" applyBorder="1" applyAlignment="1">
      <alignment vertical="center"/>
    </xf>
    <xf numFmtId="187" fontId="19" fillId="3" borderId="4" xfId="0" applyNumberFormat="1" applyFont="1" applyFill="1" applyBorder="1" applyAlignment="1">
      <alignment vertical="center"/>
    </xf>
    <xf numFmtId="187" fontId="22" fillId="18" borderId="4" xfId="1" applyNumberFormat="1" applyFont="1" applyFill="1" applyBorder="1" applyAlignment="1">
      <alignment vertical="center"/>
    </xf>
    <xf numFmtId="0" fontId="22" fillId="3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3" borderId="0" xfId="2" applyFont="1" applyFill="1"/>
    <xf numFmtId="0" fontId="19" fillId="3" borderId="0" xfId="2" applyFont="1" applyFill="1" applyAlignment="1">
      <alignment horizontal="center"/>
    </xf>
    <xf numFmtId="0" fontId="19" fillId="0" borderId="0" xfId="2" applyFont="1"/>
    <xf numFmtId="0" fontId="19" fillId="0" borderId="4" xfId="2" applyFont="1" applyBorder="1" applyAlignment="1">
      <alignment horizontal="center" vertical="center"/>
    </xf>
    <xf numFmtId="0" fontId="22" fillId="6" borderId="1" xfId="2" applyFont="1" applyFill="1" applyBorder="1" applyAlignment="1">
      <alignment horizontal="center" vertical="center"/>
    </xf>
    <xf numFmtId="0" fontId="23" fillId="3" borderId="4" xfId="2" applyFont="1" applyFill="1" applyBorder="1" applyAlignment="1">
      <alignment horizontal="center" vertical="center"/>
    </xf>
    <xf numFmtId="0" fontId="20" fillId="3" borderId="0" xfId="2" applyFont="1" applyFill="1"/>
    <xf numFmtId="0" fontId="23" fillId="0" borderId="4" xfId="2" applyFont="1" applyBorder="1" applyAlignment="1">
      <alignment horizontal="center" vertical="center"/>
    </xf>
    <xf numFmtId="0" fontId="20" fillId="0" borderId="0" xfId="2" applyFont="1"/>
    <xf numFmtId="187" fontId="19" fillId="11" borderId="4" xfId="3" applyNumberFormat="1" applyFont="1" applyFill="1" applyBorder="1" applyAlignment="1">
      <alignment horizontal="center" vertical="center"/>
    </xf>
    <xf numFmtId="0" fontId="19" fillId="0" borderId="0" xfId="2" applyFont="1" applyAlignment="1">
      <alignment horizontal="center"/>
    </xf>
    <xf numFmtId="16" fontId="19" fillId="3" borderId="0" xfId="2" quotePrefix="1" applyNumberFormat="1" applyFont="1" applyFill="1" applyAlignment="1">
      <alignment horizontal="center"/>
    </xf>
    <xf numFmtId="0" fontId="19" fillId="3" borderId="0" xfId="2" quotePrefix="1" applyFont="1" applyFill="1" applyAlignment="1">
      <alignment horizontal="center"/>
    </xf>
    <xf numFmtId="9" fontId="19" fillId="11" borderId="9" xfId="2" applyNumberFormat="1" applyFont="1" applyFill="1" applyBorder="1" applyAlignment="1">
      <alignment horizontal="center" vertical="center"/>
    </xf>
    <xf numFmtId="9" fontId="19" fillId="11" borderId="12" xfId="2" applyNumberFormat="1" applyFont="1" applyFill="1" applyBorder="1" applyAlignment="1">
      <alignment horizontal="center" vertical="center"/>
    </xf>
    <xf numFmtId="9" fontId="19" fillId="11" borderId="4" xfId="2" applyNumberFormat="1" applyFont="1" applyFill="1" applyBorder="1" applyAlignment="1">
      <alignment horizontal="center" vertical="center"/>
    </xf>
    <xf numFmtId="187" fontId="21" fillId="0" borderId="0" xfId="0" applyNumberFormat="1" applyFont="1"/>
    <xf numFmtId="10" fontId="21" fillId="0" borderId="0" xfId="0" applyNumberFormat="1" applyFont="1"/>
    <xf numFmtId="0" fontId="19" fillId="11" borderId="4" xfId="5" applyNumberFormat="1" applyFont="1" applyFill="1" applyBorder="1" applyAlignment="1">
      <alignment horizontal="center" vertical="center"/>
    </xf>
    <xf numFmtId="1" fontId="19" fillId="11" borderId="4" xfId="3" applyNumberFormat="1" applyFont="1" applyFill="1" applyBorder="1" applyAlignment="1">
      <alignment horizontal="center" vertical="center"/>
    </xf>
    <xf numFmtId="10" fontId="19" fillId="11" borderId="4" xfId="6" applyNumberFormat="1" applyFont="1" applyFill="1" applyBorder="1" applyAlignment="1">
      <alignment horizontal="center" vertical="center"/>
    </xf>
    <xf numFmtId="187" fontId="24" fillId="0" borderId="4" xfId="1" applyNumberFormat="1" applyFont="1" applyFill="1" applyBorder="1" applyAlignment="1">
      <alignment horizontal="right" vertical="center"/>
    </xf>
    <xf numFmtId="10" fontId="25" fillId="17" borderId="4" xfId="5" applyNumberFormat="1" applyFont="1" applyFill="1" applyBorder="1" applyAlignment="1">
      <alignment horizontal="right" vertical="center"/>
    </xf>
    <xf numFmtId="1" fontId="24" fillId="0" borderId="4" xfId="3" applyNumberFormat="1" applyFont="1" applyFill="1" applyBorder="1" applyAlignment="1">
      <alignment horizontal="center" vertical="center"/>
    </xf>
    <xf numFmtId="10" fontId="25" fillId="6" borderId="4" xfId="0" applyNumberFormat="1" applyFont="1" applyFill="1" applyBorder="1" applyAlignment="1">
      <alignment horizontal="right" vertical="center"/>
    </xf>
    <xf numFmtId="187" fontId="26" fillId="11" borderId="4" xfId="1" applyNumberFormat="1" applyFont="1" applyFill="1" applyBorder="1" applyAlignment="1">
      <alignment vertical="center"/>
    </xf>
    <xf numFmtId="187" fontId="26" fillId="11" borderId="4" xfId="3" applyNumberFormat="1" applyFont="1" applyFill="1" applyBorder="1" applyAlignment="1">
      <alignment vertical="center"/>
    </xf>
    <xf numFmtId="10" fontId="26" fillId="11" borderId="4" xfId="5" applyNumberFormat="1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9" fillId="11" borderId="4" xfId="0" applyFont="1" applyFill="1" applyBorder="1" applyAlignment="1">
      <alignment horizontal="center" vertical="center"/>
    </xf>
    <xf numFmtId="0" fontId="29" fillId="11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vertical="center"/>
    </xf>
    <xf numFmtId="187" fontId="29" fillId="0" borderId="4" xfId="1" applyNumberFormat="1" applyFont="1" applyFill="1" applyBorder="1" applyAlignment="1">
      <alignment vertical="center"/>
    </xf>
    <xf numFmtId="3" fontId="29" fillId="0" borderId="4" xfId="0" applyNumberFormat="1" applyFont="1" applyBorder="1" applyAlignment="1">
      <alignment vertical="center"/>
    </xf>
    <xf numFmtId="43" fontId="29" fillId="0" borderId="4" xfId="1" applyFont="1" applyFill="1" applyBorder="1" applyAlignment="1">
      <alignment vertical="center"/>
    </xf>
    <xf numFmtId="187" fontId="29" fillId="11" borderId="4" xfId="1" applyNumberFormat="1" applyFont="1" applyFill="1" applyBorder="1" applyAlignment="1">
      <alignment vertical="center"/>
    </xf>
    <xf numFmtId="3" fontId="29" fillId="11" borderId="4" xfId="0" applyNumberFormat="1" applyFont="1" applyFill="1" applyBorder="1" applyAlignment="1">
      <alignment vertical="center"/>
    </xf>
    <xf numFmtId="43" fontId="29" fillId="11" borderId="4" xfId="1" applyFont="1" applyFill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4" xfId="0" applyFont="1" applyBorder="1" applyAlignment="1">
      <alignment vertical="center"/>
    </xf>
    <xf numFmtId="187" fontId="30" fillId="3" borderId="4" xfId="0" applyNumberFormat="1" applyFont="1" applyFill="1" applyBorder="1" applyAlignment="1">
      <alignment horizontal="left" vertical="center"/>
    </xf>
    <xf numFmtId="187" fontId="31" fillId="3" borderId="4" xfId="1" applyNumberFormat="1" applyFont="1" applyFill="1" applyBorder="1" applyAlignment="1">
      <alignment vertical="center"/>
    </xf>
    <xf numFmtId="187" fontId="31" fillId="0" borderId="4" xfId="0" applyNumberFormat="1" applyFont="1" applyBorder="1" applyAlignment="1">
      <alignment horizontal="center" vertical="center"/>
    </xf>
    <xf numFmtId="191" fontId="31" fillId="3" borderId="4" xfId="0" applyNumberFormat="1" applyFont="1" applyFill="1" applyBorder="1" applyAlignment="1">
      <alignment vertical="center"/>
    </xf>
    <xf numFmtId="4" fontId="31" fillId="0" borderId="4" xfId="1" applyNumberFormat="1" applyFont="1" applyFill="1" applyBorder="1" applyAlignment="1">
      <alignment horizontal="center" vertical="center"/>
    </xf>
    <xf numFmtId="187" fontId="31" fillId="10" borderId="4" xfId="1" applyNumberFormat="1" applyFont="1" applyFill="1" applyBorder="1" applyAlignment="1">
      <alignment vertical="center"/>
    </xf>
    <xf numFmtId="3" fontId="31" fillId="0" borderId="4" xfId="1" applyNumberFormat="1" applyFont="1" applyFill="1" applyBorder="1" applyAlignment="1">
      <alignment vertical="center"/>
    </xf>
    <xf numFmtId="10" fontId="31" fillId="0" borderId="4" xfId="5" applyNumberFormat="1" applyFont="1" applyFill="1" applyBorder="1" applyAlignment="1">
      <alignment vertical="center"/>
    </xf>
    <xf numFmtId="187" fontId="31" fillId="0" borderId="4" xfId="1" applyNumberFormat="1" applyFont="1" applyFill="1" applyBorder="1" applyAlignment="1">
      <alignment vertical="center"/>
    </xf>
    <xf numFmtId="4" fontId="31" fillId="0" borderId="4" xfId="0" applyNumberFormat="1" applyFont="1" applyBorder="1" applyAlignment="1">
      <alignment vertical="center"/>
    </xf>
    <xf numFmtId="10" fontId="30" fillId="3" borderId="4" xfId="5" applyNumberFormat="1" applyFont="1" applyFill="1" applyBorder="1" applyAlignment="1">
      <alignment vertical="center"/>
    </xf>
    <xf numFmtId="187" fontId="31" fillId="12" borderId="4" xfId="1" applyNumberFormat="1" applyFont="1" applyFill="1" applyBorder="1" applyAlignment="1">
      <alignment vertical="center"/>
    </xf>
    <xf numFmtId="187" fontId="30" fillId="0" borderId="4" xfId="1" applyNumberFormat="1" applyFont="1" applyFill="1" applyBorder="1" applyAlignment="1">
      <alignment vertical="center"/>
    </xf>
    <xf numFmtId="187" fontId="30" fillId="3" borderId="4" xfId="1" applyNumberFormat="1" applyFont="1" applyFill="1" applyBorder="1" applyAlignment="1">
      <alignment vertical="center"/>
    </xf>
    <xf numFmtId="0" fontId="32" fillId="3" borderId="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3" borderId="0" xfId="0" applyFont="1" applyFill="1" applyAlignment="1">
      <alignment vertical="center"/>
    </xf>
    <xf numFmtId="192" fontId="30" fillId="0" borderId="4" xfId="1" applyNumberFormat="1" applyFont="1" applyFill="1" applyBorder="1" applyAlignment="1">
      <alignment vertical="center"/>
    </xf>
    <xf numFmtId="191" fontId="31" fillId="0" borderId="4" xfId="0" applyNumberFormat="1" applyFont="1" applyBorder="1" applyAlignment="1">
      <alignment vertical="center"/>
    </xf>
    <xf numFmtId="0" fontId="31" fillId="11" borderId="3" xfId="0" applyFont="1" applyFill="1" applyBorder="1" applyAlignment="1">
      <alignment horizontal="center" vertical="center"/>
    </xf>
    <xf numFmtId="187" fontId="31" fillId="11" borderId="4" xfId="0" applyNumberFormat="1" applyFont="1" applyFill="1" applyBorder="1" applyAlignment="1">
      <alignment horizontal="left" vertical="center"/>
    </xf>
    <xf numFmtId="187" fontId="31" fillId="11" borderId="4" xfId="1" applyNumberFormat="1" applyFont="1" applyFill="1" applyBorder="1" applyAlignment="1">
      <alignment vertical="center"/>
    </xf>
    <xf numFmtId="1" fontId="31" fillId="11" borderId="4" xfId="1" applyNumberFormat="1" applyFont="1" applyFill="1" applyBorder="1" applyAlignment="1">
      <alignment horizontal="center" vertical="center"/>
    </xf>
    <xf numFmtId="10" fontId="31" fillId="11" borderId="4" xfId="5" applyNumberFormat="1" applyFont="1" applyFill="1" applyBorder="1" applyAlignment="1">
      <alignment vertical="center"/>
    </xf>
    <xf numFmtId="10" fontId="31" fillId="11" borderId="4" xfId="5" applyNumberFormat="1" applyFont="1" applyFill="1" applyBorder="1" applyAlignment="1">
      <alignment horizontal="center" vertical="center"/>
    </xf>
    <xf numFmtId="9" fontId="31" fillId="11" borderId="4" xfId="5" applyFont="1" applyFill="1" applyBorder="1" applyAlignment="1">
      <alignment vertical="center"/>
    </xf>
    <xf numFmtId="0" fontId="31" fillId="11" borderId="4" xfId="0" applyFont="1" applyFill="1" applyBorder="1" applyAlignment="1">
      <alignment horizontal="center" vertical="center"/>
    </xf>
    <xf numFmtId="187" fontId="31" fillId="11" borderId="4" xfId="0" applyNumberFormat="1" applyFont="1" applyFill="1" applyBorder="1" applyAlignment="1">
      <alignment vertical="center"/>
    </xf>
    <xf numFmtId="191" fontId="31" fillId="11" borderId="4" xfId="0" applyNumberFormat="1" applyFont="1" applyFill="1" applyBorder="1" applyAlignment="1">
      <alignment vertical="center"/>
    </xf>
    <xf numFmtId="4" fontId="31" fillId="11" borderId="4" xfId="1" applyNumberFormat="1" applyFont="1" applyFill="1" applyBorder="1" applyAlignment="1">
      <alignment horizontal="center" vertical="center"/>
    </xf>
    <xf numFmtId="187" fontId="31" fillId="11" borderId="4" xfId="5" applyNumberFormat="1" applyFont="1" applyFill="1" applyBorder="1" applyAlignment="1">
      <alignment vertical="center"/>
    </xf>
    <xf numFmtId="3" fontId="31" fillId="11" borderId="4" xfId="1" applyNumberFormat="1" applyFont="1" applyFill="1" applyBorder="1" applyAlignment="1">
      <alignment vertical="center"/>
    </xf>
    <xf numFmtId="10" fontId="31" fillId="11" borderId="4" xfId="0" applyNumberFormat="1" applyFont="1" applyFill="1" applyBorder="1" applyAlignment="1">
      <alignment vertical="center"/>
    </xf>
    <xf numFmtId="192" fontId="31" fillId="11" borderId="4" xfId="1" applyNumberFormat="1" applyFont="1" applyFill="1" applyBorder="1" applyAlignment="1">
      <alignment vertical="center"/>
    </xf>
    <xf numFmtId="0" fontId="30" fillId="0" borderId="0" xfId="0" applyFont="1"/>
    <xf numFmtId="3" fontId="30" fillId="0" borderId="0" xfId="0" applyNumberFormat="1" applyFont="1"/>
    <xf numFmtId="43" fontId="30" fillId="0" borderId="0" xfId="0" applyNumberFormat="1" applyFont="1"/>
    <xf numFmtId="0" fontId="30" fillId="0" borderId="0" xfId="0" applyFont="1" applyAlignment="1">
      <alignment horizontal="center"/>
    </xf>
    <xf numFmtId="188" fontId="32" fillId="0" borderId="0" xfId="1" applyNumberFormat="1" applyFont="1" applyAlignment="1">
      <alignment horizontal="right"/>
    </xf>
    <xf numFmtId="0" fontId="32" fillId="0" borderId="0" xfId="0" applyFont="1" applyAlignment="1">
      <alignment horizontal="center"/>
    </xf>
    <xf numFmtId="10" fontId="32" fillId="0" borderId="0" xfId="0" applyNumberFormat="1" applyFont="1"/>
    <xf numFmtId="16" fontId="30" fillId="0" borderId="0" xfId="0" quotePrefix="1" applyNumberFormat="1" applyFont="1" applyAlignment="1">
      <alignment horizontal="center"/>
    </xf>
    <xf numFmtId="187" fontId="32" fillId="0" borderId="0" xfId="1" applyNumberFormat="1" applyFont="1" applyAlignment="1">
      <alignment horizontal="right"/>
    </xf>
    <xf numFmtId="10" fontId="32" fillId="3" borderId="0" xfId="0" applyNumberFormat="1" applyFont="1" applyFill="1"/>
    <xf numFmtId="0" fontId="30" fillId="3" borderId="0" xfId="0" applyFont="1" applyFill="1"/>
    <xf numFmtId="187" fontId="30" fillId="3" borderId="0" xfId="1" applyNumberFormat="1" applyFont="1" applyFill="1"/>
    <xf numFmtId="187" fontId="30" fillId="3" borderId="0" xfId="0" applyNumberFormat="1" applyFont="1" applyFill="1"/>
    <xf numFmtId="4" fontId="32" fillId="3" borderId="0" xfId="1" applyNumberFormat="1" applyFont="1" applyFill="1"/>
    <xf numFmtId="10" fontId="30" fillId="3" borderId="0" xfId="5" applyNumberFormat="1" applyFont="1" applyFill="1"/>
    <xf numFmtId="4" fontId="30" fillId="3" borderId="0" xfId="1" applyNumberFormat="1" applyFont="1" applyFill="1"/>
    <xf numFmtId="9" fontId="30" fillId="0" borderId="0" xfId="5" applyFont="1"/>
    <xf numFmtId="0" fontId="34" fillId="9" borderId="4" xfId="0" applyFont="1" applyFill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87" fontId="30" fillId="0" borderId="0" xfId="1" applyNumberFormat="1" applyFont="1"/>
    <xf numFmtId="3" fontId="32" fillId="0" borderId="0" xfId="1" applyNumberFormat="1" applyFont="1"/>
    <xf numFmtId="10" fontId="30" fillId="0" borderId="0" xfId="5" applyNumberFormat="1" applyFont="1"/>
    <xf numFmtId="0" fontId="31" fillId="7" borderId="4" xfId="0" applyFont="1" applyFill="1" applyBorder="1" applyAlignment="1">
      <alignment horizontal="center"/>
    </xf>
    <xf numFmtId="0" fontId="30" fillId="3" borderId="4" xfId="0" applyFont="1" applyFill="1" applyBorder="1" applyAlignment="1">
      <alignment horizontal="left" vertical="center"/>
    </xf>
    <xf numFmtId="0" fontId="30" fillId="0" borderId="4" xfId="0" applyFont="1" applyBorder="1"/>
    <xf numFmtId="187" fontId="30" fillId="0" borderId="4" xfId="0" applyNumberFormat="1" applyFont="1" applyBorder="1"/>
    <xf numFmtId="3" fontId="30" fillId="0" borderId="0" xfId="1" applyNumberFormat="1" applyFont="1"/>
    <xf numFmtId="0" fontId="33" fillId="3" borderId="4" xfId="0" applyFont="1" applyFill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187" fontId="30" fillId="22" borderId="4" xfId="1" applyNumberFormat="1" applyFont="1" applyFill="1" applyBorder="1" applyAlignment="1">
      <alignment vertical="center"/>
    </xf>
    <xf numFmtId="1" fontId="31" fillId="22" borderId="4" xfId="0" applyNumberFormat="1" applyFont="1" applyFill="1" applyBorder="1" applyAlignment="1">
      <alignment horizontal="center" vertical="center"/>
    </xf>
    <xf numFmtId="10" fontId="31" fillId="22" borderId="4" xfId="1" applyNumberFormat="1" applyFont="1" applyFill="1" applyBorder="1" applyAlignment="1">
      <alignment horizontal="center" vertical="center"/>
    </xf>
    <xf numFmtId="187" fontId="31" fillId="22" borderId="4" xfId="1" applyNumberFormat="1" applyFont="1" applyFill="1" applyBorder="1" applyAlignment="1">
      <alignment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vertical="center"/>
    </xf>
    <xf numFmtId="3" fontId="19" fillId="3" borderId="4" xfId="0" applyNumberFormat="1" applyFont="1" applyFill="1" applyBorder="1" applyAlignment="1">
      <alignment vertical="center"/>
    </xf>
    <xf numFmtId="3" fontId="19" fillId="3" borderId="4" xfId="0" quotePrefix="1" applyNumberFormat="1" applyFont="1" applyFill="1" applyBorder="1" applyAlignment="1">
      <alignment horizontal="right" vertical="center"/>
    </xf>
    <xf numFmtId="0" fontId="19" fillId="3" borderId="4" xfId="0" quotePrefix="1" applyFont="1" applyFill="1" applyBorder="1" applyAlignment="1">
      <alignment vertical="center"/>
    </xf>
    <xf numFmtId="0" fontId="19" fillId="3" borderId="4" xfId="0" quotePrefix="1" applyFont="1" applyFill="1" applyBorder="1" applyAlignment="1">
      <alignment horizontal="right" vertical="center"/>
    </xf>
    <xf numFmtId="10" fontId="19" fillId="3" borderId="4" xfId="0" applyNumberFormat="1" applyFont="1" applyFill="1" applyBorder="1" applyAlignment="1">
      <alignment vertical="center"/>
    </xf>
    <xf numFmtId="10" fontId="19" fillId="3" borderId="4" xfId="5" applyNumberFormat="1" applyFont="1" applyFill="1" applyBorder="1" applyAlignment="1">
      <alignment vertical="center"/>
    </xf>
    <xf numFmtId="187" fontId="19" fillId="0" borderId="4" xfId="1" quotePrefix="1" applyNumberFormat="1" applyFont="1" applyFill="1" applyBorder="1" applyAlignment="1">
      <alignment horizontal="center" vertical="center"/>
    </xf>
    <xf numFmtId="10" fontId="31" fillId="24" borderId="4" xfId="1" applyNumberFormat="1" applyFont="1" applyFill="1" applyBorder="1" applyAlignment="1">
      <alignment horizontal="center" vertical="center"/>
    </xf>
    <xf numFmtId="187" fontId="30" fillId="25" borderId="4" xfId="0" applyNumberFormat="1" applyFont="1" applyFill="1" applyBorder="1" applyAlignment="1">
      <alignment horizontal="left" vertical="center"/>
    </xf>
    <xf numFmtId="187" fontId="31" fillId="25" borderId="4" xfId="1" applyNumberFormat="1" applyFont="1" applyFill="1" applyBorder="1" applyAlignment="1">
      <alignment vertical="center"/>
    </xf>
    <xf numFmtId="187" fontId="30" fillId="25" borderId="4" xfId="1" applyNumberFormat="1" applyFont="1" applyFill="1" applyBorder="1" applyAlignment="1">
      <alignment vertical="center"/>
    </xf>
    <xf numFmtId="1" fontId="31" fillId="25" borderId="4" xfId="0" applyNumberFormat="1" applyFont="1" applyFill="1" applyBorder="1" applyAlignment="1">
      <alignment horizontal="center" vertical="center"/>
    </xf>
    <xf numFmtId="187" fontId="31" fillId="25" borderId="4" xfId="0" applyNumberFormat="1" applyFont="1" applyFill="1" applyBorder="1" applyAlignment="1">
      <alignment horizontal="center" vertical="center"/>
    </xf>
    <xf numFmtId="191" fontId="31" fillId="25" borderId="4" xfId="0" applyNumberFormat="1" applyFont="1" applyFill="1" applyBorder="1" applyAlignment="1">
      <alignment vertical="center"/>
    </xf>
    <xf numFmtId="3" fontId="31" fillId="25" borderId="4" xfId="1" applyNumberFormat="1" applyFont="1" applyFill="1" applyBorder="1" applyAlignment="1">
      <alignment vertical="center"/>
    </xf>
    <xf numFmtId="10" fontId="31" fillId="25" borderId="4" xfId="5" applyNumberFormat="1" applyFont="1" applyFill="1" applyBorder="1" applyAlignment="1">
      <alignment vertical="center"/>
    </xf>
    <xf numFmtId="4" fontId="31" fillId="25" borderId="4" xfId="0" applyNumberFormat="1" applyFont="1" applyFill="1" applyBorder="1" applyAlignment="1">
      <alignment vertical="center"/>
    </xf>
    <xf numFmtId="10" fontId="30" fillId="25" borderId="4" xfId="5" applyNumberFormat="1" applyFont="1" applyFill="1" applyBorder="1" applyAlignment="1">
      <alignment vertical="center"/>
    </xf>
    <xf numFmtId="0" fontId="32" fillId="25" borderId="4" xfId="0" applyFont="1" applyFill="1" applyBorder="1" applyAlignment="1">
      <alignment horizontal="center" vertical="center"/>
    </xf>
    <xf numFmtId="10" fontId="37" fillId="0" borderId="4" xfId="5" quotePrefix="1" applyNumberFormat="1" applyFont="1" applyFill="1" applyBorder="1" applyAlignment="1">
      <alignment horizontal="center" vertical="center"/>
    </xf>
    <xf numFmtId="10" fontId="38" fillId="0" borderId="4" xfId="5" applyNumberFormat="1" applyFont="1" applyFill="1" applyBorder="1" applyAlignment="1">
      <alignment vertical="center"/>
    </xf>
    <xf numFmtId="187" fontId="29" fillId="26" borderId="4" xfId="1" applyNumberFormat="1" applyFont="1" applyFill="1" applyBorder="1" applyAlignment="1">
      <alignment vertical="center"/>
    </xf>
    <xf numFmtId="3" fontId="29" fillId="26" borderId="4" xfId="0" applyNumberFormat="1" applyFont="1" applyFill="1" applyBorder="1" applyAlignment="1">
      <alignment vertical="center"/>
    </xf>
    <xf numFmtId="43" fontId="29" fillId="26" borderId="4" xfId="1" applyFont="1" applyFill="1" applyBorder="1" applyAlignment="1">
      <alignment vertical="center"/>
    </xf>
    <xf numFmtId="0" fontId="39" fillId="3" borderId="4" xfId="2" applyFont="1" applyFill="1" applyBorder="1" applyAlignment="1">
      <alignment horizontal="center" vertical="center"/>
    </xf>
    <xf numFmtId="0" fontId="39" fillId="0" borderId="4" xfId="2" applyFont="1" applyBorder="1" applyAlignment="1">
      <alignment horizontal="center" vertical="center"/>
    </xf>
    <xf numFmtId="10" fontId="20" fillId="11" borderId="4" xfId="5" applyNumberFormat="1" applyFont="1" applyFill="1" applyBorder="1" applyAlignment="1">
      <alignment vertical="center"/>
    </xf>
    <xf numFmtId="1" fontId="21" fillId="3" borderId="4" xfId="3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187" fontId="21" fillId="0" borderId="4" xfId="1" applyNumberFormat="1" applyFont="1" applyFill="1" applyBorder="1" applyAlignment="1">
      <alignment vertical="center"/>
    </xf>
    <xf numFmtId="10" fontId="41" fillId="0" borderId="4" xfId="5" applyNumberFormat="1" applyFont="1" applyFill="1" applyBorder="1" applyAlignment="1">
      <alignment vertical="center"/>
    </xf>
    <xf numFmtId="1" fontId="41" fillId="0" borderId="4" xfId="5" applyNumberFormat="1" applyFont="1" applyFill="1" applyBorder="1" applyAlignment="1">
      <alignment vertical="center"/>
    </xf>
    <xf numFmtId="1" fontId="21" fillId="0" borderId="4" xfId="3" applyNumberFormat="1" applyFont="1" applyFill="1" applyBorder="1" applyAlignment="1">
      <alignment horizontal="center" vertical="center"/>
    </xf>
    <xf numFmtId="1" fontId="21" fillId="0" borderId="4" xfId="3" quotePrefix="1" applyNumberFormat="1" applyFont="1" applyFill="1" applyBorder="1" applyAlignment="1">
      <alignment horizontal="center" vertical="center"/>
    </xf>
    <xf numFmtId="1" fontId="43" fillId="0" borderId="4" xfId="3" quotePrefix="1" applyNumberFormat="1" applyFont="1" applyFill="1" applyBorder="1" applyAlignment="1">
      <alignment horizontal="center" vertical="center"/>
    </xf>
    <xf numFmtId="1" fontId="42" fillId="0" borderId="4" xfId="0" applyNumberFormat="1" applyFont="1" applyBorder="1" applyAlignment="1">
      <alignment horizontal="center" vertical="center"/>
    </xf>
    <xf numFmtId="10" fontId="42" fillId="0" borderId="4" xfId="0" applyNumberFormat="1" applyFont="1" applyBorder="1" applyAlignment="1">
      <alignment horizontal="center" vertical="center"/>
    </xf>
    <xf numFmtId="10" fontId="31" fillId="27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11" borderId="4" xfId="2" applyFont="1" applyFill="1" applyBorder="1" applyAlignment="1">
      <alignment horizontal="center" vertical="center"/>
    </xf>
    <xf numFmtId="0" fontId="26" fillId="11" borderId="1" xfId="2" applyFont="1" applyFill="1" applyBorder="1" applyAlignment="1">
      <alignment horizontal="center" vertical="center"/>
    </xf>
    <xf numFmtId="0" fontId="26" fillId="15" borderId="4" xfId="2" applyFont="1" applyFill="1" applyBorder="1" applyAlignment="1">
      <alignment horizontal="center" vertical="center"/>
    </xf>
    <xf numFmtId="10" fontId="37" fillId="0" borderId="4" xfId="0" applyNumberFormat="1" applyFont="1" applyBorder="1" applyAlignment="1">
      <alignment horizontal="center" vertical="center"/>
    </xf>
    <xf numFmtId="10" fontId="37" fillId="0" borderId="4" xfId="5" applyNumberFormat="1" applyFont="1" applyFill="1" applyBorder="1" applyAlignment="1">
      <alignment horizontal="right" vertical="center"/>
    </xf>
    <xf numFmtId="10" fontId="31" fillId="0" borderId="4" xfId="1" applyNumberFormat="1" applyFont="1" applyFill="1" applyBorder="1" applyAlignment="1">
      <alignment horizontal="center" vertical="center"/>
    </xf>
    <xf numFmtId="0" fontId="30" fillId="25" borderId="4" xfId="0" applyFont="1" applyFill="1" applyBorder="1" applyAlignment="1">
      <alignment vertical="center"/>
    </xf>
    <xf numFmtId="0" fontId="24" fillId="11" borderId="4" xfId="1" applyNumberFormat="1" applyFont="1" applyFill="1" applyBorder="1" applyAlignment="1">
      <alignment horizontal="center" vertical="center"/>
    </xf>
    <xf numFmtId="0" fontId="26" fillId="3" borderId="0" xfId="0" applyFont="1" applyFill="1"/>
    <xf numFmtId="0" fontId="26" fillId="0" borderId="0" xfId="0" applyFont="1"/>
    <xf numFmtId="0" fontId="26" fillId="3" borderId="0" xfId="0" applyFont="1" applyFill="1" applyAlignment="1">
      <alignment vertical="center"/>
    </xf>
    <xf numFmtId="0" fontId="47" fillId="11" borderId="7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3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0" fontId="20" fillId="0" borderId="4" xfId="5" applyNumberFormat="1" applyFont="1" applyBorder="1" applyAlignment="1">
      <alignment horizontal="right" vertical="center"/>
    </xf>
    <xf numFmtId="191" fontId="30" fillId="0" borderId="4" xfId="0" applyNumberFormat="1" applyFont="1" applyBorder="1" applyAlignment="1">
      <alignment vertical="center"/>
    </xf>
    <xf numFmtId="3" fontId="30" fillId="21" borderId="4" xfId="1" applyNumberFormat="1" applyFont="1" applyFill="1" applyBorder="1" applyAlignment="1">
      <alignment vertical="center"/>
    </xf>
    <xf numFmtId="10" fontId="30" fillId="21" borderId="4" xfId="5" applyNumberFormat="1" applyFont="1" applyFill="1" applyBorder="1" applyAlignment="1">
      <alignment vertical="center"/>
    </xf>
    <xf numFmtId="0" fontId="49" fillId="29" borderId="7" xfId="0" applyFont="1" applyFill="1" applyBorder="1" applyAlignment="1">
      <alignment horizontal="center" vertical="center" wrapText="1"/>
    </xf>
    <xf numFmtId="187" fontId="0" fillId="0" borderId="0" xfId="1" applyNumberFormat="1" applyFont="1"/>
    <xf numFmtId="10" fontId="0" fillId="0" borderId="0" xfId="5" applyNumberFormat="1" applyFont="1"/>
    <xf numFmtId="191" fontId="0" fillId="0" borderId="0" xfId="5" applyNumberFormat="1" applyFont="1"/>
    <xf numFmtId="193" fontId="0" fillId="0" borderId="0" xfId="0" applyNumberFormat="1"/>
    <xf numFmtId="0" fontId="0" fillId="0" borderId="0" xfId="0" applyAlignment="1">
      <alignment vertical="center"/>
    </xf>
    <xf numFmtId="0" fontId="50" fillId="29" borderId="4" xfId="0" applyFont="1" applyFill="1" applyBorder="1" applyAlignment="1">
      <alignment horizontal="center" vertical="center"/>
    </xf>
    <xf numFmtId="0" fontId="50" fillId="29" borderId="4" xfId="1" applyNumberFormat="1" applyFont="1" applyFill="1" applyBorder="1" applyAlignment="1">
      <alignment horizontal="center" vertical="center"/>
    </xf>
    <xf numFmtId="0" fontId="0" fillId="13" borderId="4" xfId="0" applyFill="1" applyBorder="1" applyAlignment="1">
      <alignment vertical="center"/>
    </xf>
    <xf numFmtId="187" fontId="0" fillId="13" borderId="4" xfId="1" applyNumberFormat="1" applyFont="1" applyFill="1" applyBorder="1" applyAlignment="1">
      <alignment vertical="center"/>
    </xf>
    <xf numFmtId="193" fontId="0" fillId="13" borderId="4" xfId="0" applyNumberFormat="1" applyFill="1" applyBorder="1" applyAlignment="1">
      <alignment vertical="center"/>
    </xf>
    <xf numFmtId="191" fontId="0" fillId="13" borderId="4" xfId="5" applyNumberFormat="1" applyFont="1" applyFill="1" applyBorder="1" applyAlignment="1">
      <alignment vertical="center"/>
    </xf>
    <xf numFmtId="187" fontId="0" fillId="0" borderId="4" xfId="1" applyNumberFormat="1" applyFont="1" applyBorder="1" applyAlignment="1">
      <alignment vertical="center"/>
    </xf>
    <xf numFmtId="187" fontId="0" fillId="0" borderId="4" xfId="0" applyNumberFormat="1" applyBorder="1" applyAlignment="1">
      <alignment vertical="center"/>
    </xf>
    <xf numFmtId="10" fontId="0" fillId="0" borderId="4" xfId="5" applyNumberFormat="1" applyFont="1" applyBorder="1" applyAlignment="1">
      <alignment vertical="center"/>
    </xf>
    <xf numFmtId="193" fontId="0" fillId="0" borderId="4" xfId="1" applyNumberFormat="1" applyFont="1" applyBorder="1" applyAlignment="1">
      <alignment vertical="center"/>
    </xf>
    <xf numFmtId="191" fontId="51" fillId="0" borderId="4" xfId="5" applyNumberFormat="1" applyFont="1" applyBorder="1" applyAlignment="1">
      <alignment vertical="center"/>
    </xf>
    <xf numFmtId="0" fontId="50" fillId="29" borderId="4" xfId="0" applyFont="1" applyFill="1" applyBorder="1" applyAlignment="1">
      <alignment vertical="center"/>
    </xf>
    <xf numFmtId="187" fontId="50" fillId="29" borderId="4" xfId="1" applyNumberFormat="1" applyFont="1" applyFill="1" applyBorder="1" applyAlignment="1">
      <alignment vertical="center"/>
    </xf>
    <xf numFmtId="187" fontId="50" fillId="29" borderId="4" xfId="0" applyNumberFormat="1" applyFont="1" applyFill="1" applyBorder="1" applyAlignment="1">
      <alignment vertical="center"/>
    </xf>
    <xf numFmtId="10" fontId="50" fillId="29" borderId="4" xfId="5" applyNumberFormat="1" applyFont="1" applyFill="1" applyBorder="1" applyAlignment="1">
      <alignment vertical="center"/>
    </xf>
    <xf numFmtId="191" fontId="50" fillId="29" borderId="4" xfId="5" applyNumberFormat="1" applyFont="1" applyFill="1" applyBorder="1" applyAlignment="1">
      <alignment vertical="center"/>
    </xf>
    <xf numFmtId="187" fontId="0" fillId="13" borderId="4" xfId="0" applyNumberFormat="1" applyFill="1" applyBorder="1" applyAlignment="1">
      <alignment vertical="center"/>
    </xf>
    <xf numFmtId="10" fontId="0" fillId="13" borderId="4" xfId="5" applyNumberFormat="1" applyFont="1" applyFill="1" applyBorder="1" applyAlignment="1">
      <alignment vertical="center"/>
    </xf>
    <xf numFmtId="193" fontId="0" fillId="13" borderId="4" xfId="1" applyNumberFormat="1" applyFont="1" applyFill="1" applyBorder="1" applyAlignment="1">
      <alignment vertical="center"/>
    </xf>
    <xf numFmtId="191" fontId="51" fillId="13" borderId="4" xfId="5" applyNumberFormat="1" applyFont="1" applyFill="1" applyBorder="1" applyAlignment="1">
      <alignment vertical="center"/>
    </xf>
    <xf numFmtId="191" fontId="0" fillId="0" borderId="4" xfId="5" applyNumberFormat="1" applyFont="1" applyBorder="1" applyAlignment="1">
      <alignment vertical="center"/>
    </xf>
    <xf numFmtId="187" fontId="50" fillId="29" borderId="4" xfId="1" applyNumberFormat="1" applyFont="1" applyFill="1" applyBorder="1" applyAlignment="1">
      <alignment horizontal="center" vertical="center"/>
    </xf>
    <xf numFmtId="191" fontId="0" fillId="0" borderId="4" xfId="0" applyNumberFormat="1" applyBorder="1" applyAlignment="1">
      <alignment vertical="center"/>
    </xf>
    <xf numFmtId="0" fontId="0" fillId="25" borderId="0" xfId="0" applyFill="1" applyAlignment="1">
      <alignment horizontal="center" vertical="center"/>
    </xf>
    <xf numFmtId="0" fontId="44" fillId="11" borderId="7" xfId="0" applyFont="1" applyFill="1" applyBorder="1" applyAlignment="1">
      <alignment horizontal="center" vertical="center"/>
    </xf>
    <xf numFmtId="0" fontId="44" fillId="11" borderId="3" xfId="0" applyFont="1" applyFill="1" applyBorder="1" applyAlignment="1">
      <alignment horizontal="center" vertical="center" wrapText="1"/>
    </xf>
    <xf numFmtId="0" fontId="44" fillId="11" borderId="4" xfId="0" applyFont="1" applyFill="1" applyBorder="1" applyAlignment="1">
      <alignment horizontal="center" vertical="center"/>
    </xf>
    <xf numFmtId="0" fontId="44" fillId="11" borderId="4" xfId="2" applyFont="1" applyFill="1" applyBorder="1" applyAlignment="1">
      <alignment horizontal="center" vertical="center"/>
    </xf>
    <xf numFmtId="0" fontId="44" fillId="11" borderId="4" xfId="2" applyFont="1" applyFill="1" applyBorder="1" applyAlignment="1">
      <alignment horizontal="center" vertical="center" wrapText="1"/>
    </xf>
    <xf numFmtId="0" fontId="44" fillId="11" borderId="8" xfId="0" applyFont="1" applyFill="1" applyBorder="1" applyAlignment="1">
      <alignment horizontal="center" vertical="top"/>
    </xf>
    <xf numFmtId="9" fontId="44" fillId="11" borderId="3" xfId="0" applyNumberFormat="1" applyFont="1" applyFill="1" applyBorder="1" applyAlignment="1">
      <alignment horizontal="center" vertical="center"/>
    </xf>
    <xf numFmtId="9" fontId="44" fillId="11" borderId="4" xfId="0" applyNumberFormat="1" applyFont="1" applyFill="1" applyBorder="1" applyAlignment="1">
      <alignment horizontal="center" vertical="center"/>
    </xf>
    <xf numFmtId="10" fontId="44" fillId="11" borderId="4" xfId="1" applyNumberFormat="1" applyFont="1" applyFill="1" applyBorder="1" applyAlignment="1">
      <alignment horizontal="center" vertical="center" wrapText="1"/>
    </xf>
    <xf numFmtId="0" fontId="44" fillId="11" borderId="4" xfId="1" applyNumberFormat="1" applyFont="1" applyFill="1" applyBorder="1" applyAlignment="1">
      <alignment horizontal="center" vertical="center" wrapText="1"/>
    </xf>
    <xf numFmtId="187" fontId="44" fillId="11" borderId="4" xfId="1" applyNumberFormat="1" applyFont="1" applyFill="1" applyBorder="1" applyAlignment="1">
      <alignment horizontal="center" vertical="center" wrapText="1"/>
    </xf>
    <xf numFmtId="187" fontId="44" fillId="11" borderId="4" xfId="1" quotePrefix="1" applyNumberFormat="1" applyFont="1" applyFill="1" applyBorder="1" applyAlignment="1">
      <alignment horizontal="center" vertical="center" wrapText="1"/>
    </xf>
    <xf numFmtId="49" fontId="44" fillId="11" borderId="4" xfId="1" quotePrefix="1" applyNumberFormat="1" applyFont="1" applyFill="1" applyBorder="1" applyAlignment="1">
      <alignment horizontal="center" vertical="center" wrapText="1"/>
    </xf>
    <xf numFmtId="2" fontId="44" fillId="11" borderId="4" xfId="1" quotePrefix="1" applyNumberFormat="1" applyFont="1" applyFill="1" applyBorder="1" applyAlignment="1">
      <alignment horizontal="center" vertical="center" wrapText="1"/>
    </xf>
    <xf numFmtId="187" fontId="19" fillId="19" borderId="4" xfId="1" applyNumberFormat="1" applyFont="1" applyFill="1" applyBorder="1" applyAlignment="1">
      <alignment vertical="center"/>
    </xf>
    <xf numFmtId="0" fontId="19" fillId="19" borderId="4" xfId="0" applyFont="1" applyFill="1" applyBorder="1" applyAlignment="1">
      <alignment horizontal="center" vertical="center"/>
    </xf>
    <xf numFmtId="187" fontId="19" fillId="19" borderId="1" xfId="0" applyNumberFormat="1" applyFont="1" applyFill="1" applyBorder="1" applyAlignment="1">
      <alignment vertical="center"/>
    </xf>
    <xf numFmtId="187" fontId="19" fillId="19" borderId="3" xfId="0" applyNumberFormat="1" applyFont="1" applyFill="1" applyBorder="1" applyAlignment="1">
      <alignment vertical="center"/>
    </xf>
    <xf numFmtId="0" fontId="22" fillId="20" borderId="4" xfId="0" applyFont="1" applyFill="1" applyBorder="1" applyAlignment="1">
      <alignment horizontal="center" vertical="center"/>
    </xf>
    <xf numFmtId="187" fontId="22" fillId="20" borderId="1" xfId="0" applyNumberFormat="1" applyFont="1" applyFill="1" applyBorder="1" applyAlignment="1">
      <alignment vertical="center"/>
    </xf>
    <xf numFmtId="187" fontId="22" fillId="20" borderId="2" xfId="0" applyNumberFormat="1" applyFont="1" applyFill="1" applyBorder="1" applyAlignment="1">
      <alignment vertical="center"/>
    </xf>
    <xf numFmtId="43" fontId="29" fillId="0" borderId="4" xfId="1" applyFont="1" applyBorder="1" applyAlignment="1">
      <alignment vertical="center"/>
    </xf>
    <xf numFmtId="43" fontId="29" fillId="0" borderId="4" xfId="0" applyNumberFormat="1" applyFont="1" applyBorder="1" applyAlignment="1">
      <alignment vertical="center"/>
    </xf>
    <xf numFmtId="10" fontId="29" fillId="26" borderId="4" xfId="5" applyNumberFormat="1" applyFont="1" applyFill="1" applyBorder="1" applyAlignment="1">
      <alignment vertical="center"/>
    </xf>
    <xf numFmtId="43" fontId="29" fillId="21" borderId="4" xfId="1" applyFont="1" applyFill="1" applyBorder="1" applyAlignment="1">
      <alignment vertical="center"/>
    </xf>
    <xf numFmtId="43" fontId="29" fillId="21" borderId="4" xfId="0" applyNumberFormat="1" applyFont="1" applyFill="1" applyBorder="1" applyAlignment="1">
      <alignment vertical="center"/>
    </xf>
    <xf numFmtId="10" fontId="29" fillId="21" borderId="4" xfId="5" applyNumberFormat="1" applyFont="1" applyFill="1" applyBorder="1" applyAlignment="1">
      <alignment vertical="center"/>
    </xf>
    <xf numFmtId="10" fontId="38" fillId="11" borderId="4" xfId="5" applyNumberFormat="1" applyFont="1" applyFill="1" applyBorder="1" applyAlignment="1">
      <alignment vertical="center"/>
    </xf>
    <xf numFmtId="10" fontId="29" fillId="0" borderId="4" xfId="5" applyNumberFormat="1" applyFont="1" applyFill="1" applyBorder="1" applyAlignment="1">
      <alignment vertical="center"/>
    </xf>
    <xf numFmtId="187" fontId="30" fillId="0" borderId="0" xfId="0" applyNumberFormat="1" applyFont="1"/>
    <xf numFmtId="187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3" xfId="0" applyFont="1" applyBorder="1" applyAlignment="1">
      <alignment vertical="center"/>
    </xf>
    <xf numFmtId="0" fontId="19" fillId="11" borderId="13" xfId="0" applyFont="1" applyFill="1" applyBorder="1" applyAlignment="1">
      <alignment vertical="center"/>
    </xf>
    <xf numFmtId="187" fontId="19" fillId="20" borderId="4" xfId="1" applyNumberFormat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1" fontId="43" fillId="11" borderId="4" xfId="3" quotePrefix="1" applyNumberFormat="1" applyFont="1" applyFill="1" applyBorder="1" applyAlignment="1">
      <alignment horizontal="center" vertical="center"/>
    </xf>
    <xf numFmtId="10" fontId="32" fillId="0" borderId="4" xfId="5" applyNumberFormat="1" applyFont="1" applyFill="1" applyBorder="1" applyAlignment="1">
      <alignment horizontal="right" vertical="center"/>
    </xf>
    <xf numFmtId="0" fontId="54" fillId="3" borderId="4" xfId="0" applyFont="1" applyFill="1" applyBorder="1" applyAlignment="1">
      <alignment horizontal="center" vertical="center"/>
    </xf>
    <xf numFmtId="10" fontId="31" fillId="0" borderId="4" xfId="5" applyNumberFormat="1" applyFont="1" applyFill="1" applyBorder="1" applyAlignment="1">
      <alignment horizontal="right" vertical="center"/>
    </xf>
    <xf numFmtId="0" fontId="14" fillId="0" borderId="0" xfId="0" applyFont="1"/>
    <xf numFmtId="0" fontId="52" fillId="0" borderId="0" xfId="0" applyFont="1"/>
    <xf numFmtId="0" fontId="53" fillId="0" borderId="0" xfId="0" applyFont="1"/>
    <xf numFmtId="0" fontId="48" fillId="11" borderId="7" xfId="0" applyFont="1" applyFill="1" applyBorder="1" applyAlignment="1">
      <alignment horizontal="center" vertical="center" wrapText="1"/>
    </xf>
    <xf numFmtId="0" fontId="47" fillId="3" borderId="16" xfId="0" applyFont="1" applyFill="1" applyBorder="1" applyAlignment="1">
      <alignment horizontal="center" vertical="center"/>
    </xf>
    <xf numFmtId="0" fontId="26" fillId="0" borderId="16" xfId="0" applyFont="1" applyBorder="1" applyAlignment="1">
      <alignment vertical="center"/>
    </xf>
    <xf numFmtId="43" fontId="47" fillId="11" borderId="16" xfId="1" applyFont="1" applyFill="1" applyBorder="1" applyAlignment="1">
      <alignment horizontal="center" vertical="center"/>
    </xf>
    <xf numFmtId="2" fontId="47" fillId="0" borderId="16" xfId="5" applyNumberFormat="1" applyFont="1" applyFill="1" applyBorder="1" applyAlignment="1">
      <alignment horizontal="center" vertical="center"/>
    </xf>
    <xf numFmtId="187" fontId="47" fillId="11" borderId="16" xfId="1" applyNumberFormat="1" applyFont="1" applyFill="1" applyBorder="1" applyAlignment="1">
      <alignment horizontal="right" vertical="center"/>
    </xf>
    <xf numFmtId="43" fontId="47" fillId="11" borderId="16" xfId="1" applyFont="1" applyFill="1" applyBorder="1" applyAlignment="1">
      <alignment vertical="center"/>
    </xf>
    <xf numFmtId="2" fontId="47" fillId="11" borderId="16" xfId="5" applyNumberFormat="1" applyFont="1" applyFill="1" applyBorder="1" applyAlignment="1">
      <alignment horizontal="center" vertical="center"/>
    </xf>
    <xf numFmtId="10" fontId="55" fillId="0" borderId="4" xfId="5" applyNumberFormat="1" applyFont="1" applyFill="1" applyBorder="1" applyAlignment="1">
      <alignment horizontal="right" vertical="center"/>
    </xf>
    <xf numFmtId="43" fontId="30" fillId="0" borderId="0" xfId="0" applyNumberFormat="1" applyFont="1" applyAlignment="1">
      <alignment vertical="center"/>
    </xf>
    <xf numFmtId="10" fontId="38" fillId="30" borderId="4" xfId="5" applyNumberFormat="1" applyFont="1" applyFill="1" applyBorder="1" applyAlignment="1">
      <alignment vertical="center"/>
    </xf>
    <xf numFmtId="187" fontId="26" fillId="0" borderId="17" xfId="1" applyNumberFormat="1" applyFont="1" applyBorder="1" applyAlignment="1">
      <alignment vertical="center"/>
    </xf>
    <xf numFmtId="187" fontId="26" fillId="0" borderId="18" xfId="1" applyNumberFormat="1" applyFont="1" applyBorder="1" applyAlignment="1">
      <alignment horizontal="right" vertical="center"/>
    </xf>
    <xf numFmtId="187" fontId="47" fillId="11" borderId="19" xfId="1" applyNumberFormat="1" applyFont="1" applyFill="1" applyBorder="1" applyAlignment="1">
      <alignment horizontal="right" vertical="center"/>
    </xf>
    <xf numFmtId="188" fontId="36" fillId="0" borderId="0" xfId="1" applyNumberFormat="1" applyFont="1" applyAlignment="1">
      <alignment horizontal="right" vertical="center"/>
    </xf>
    <xf numFmtId="10" fontId="56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3" fontId="31" fillId="0" borderId="4" xfId="1" applyNumberFormat="1" applyFont="1" applyBorder="1" applyAlignment="1">
      <alignment vertical="center"/>
    </xf>
    <xf numFmtId="3" fontId="32" fillId="0" borderId="4" xfId="1" applyNumberFormat="1" applyFont="1" applyBorder="1" applyAlignment="1">
      <alignment vertical="center"/>
    </xf>
    <xf numFmtId="3" fontId="31" fillId="11" borderId="4" xfId="5" applyNumberFormat="1" applyFont="1" applyFill="1" applyBorder="1" applyAlignment="1">
      <alignment vertical="center"/>
    </xf>
    <xf numFmtId="0" fontId="46" fillId="26" borderId="4" xfId="0" applyFont="1" applyFill="1" applyBorder="1" applyAlignment="1">
      <alignment vertical="center"/>
    </xf>
    <xf numFmtId="10" fontId="55" fillId="0" borderId="4" xfId="5" quotePrefix="1" applyNumberFormat="1" applyFont="1" applyFill="1" applyBorder="1" applyAlignment="1">
      <alignment horizontal="center" vertical="center"/>
    </xf>
    <xf numFmtId="3" fontId="14" fillId="0" borderId="0" xfId="0" applyNumberFormat="1" applyFont="1"/>
    <xf numFmtId="3" fontId="26" fillId="0" borderId="4" xfId="0" applyNumberFormat="1" applyFont="1" applyBorder="1" applyAlignment="1">
      <alignment vertical="center"/>
    </xf>
    <xf numFmtId="3" fontId="31" fillId="0" borderId="4" xfId="1" applyNumberFormat="1" applyFont="1" applyFill="1" applyBorder="1" applyAlignment="1">
      <alignment horizontal="right" vertical="center"/>
    </xf>
    <xf numFmtId="187" fontId="26" fillId="0" borderId="4" xfId="1" applyNumberFormat="1" applyFont="1" applyBorder="1" applyAlignment="1">
      <alignment vertical="center"/>
    </xf>
    <xf numFmtId="10" fontId="45" fillId="31" borderId="4" xfId="5" applyNumberFormat="1" applyFont="1" applyFill="1" applyBorder="1" applyAlignment="1">
      <alignment horizontal="right" vertical="center"/>
    </xf>
    <xf numFmtId="10" fontId="38" fillId="32" borderId="4" xfId="5" applyNumberFormat="1" applyFont="1" applyFill="1" applyBorder="1" applyAlignment="1">
      <alignment vertical="center"/>
    </xf>
    <xf numFmtId="10" fontId="37" fillId="0" borderId="4" xfId="0" quotePrefix="1" applyNumberFormat="1" applyFont="1" applyBorder="1" applyAlignment="1">
      <alignment horizontal="center" vertical="center"/>
    </xf>
    <xf numFmtId="10" fontId="34" fillId="17" borderId="4" xfId="1" applyNumberFormat="1" applyFont="1" applyFill="1" applyBorder="1" applyAlignment="1">
      <alignment horizontal="center" vertical="center"/>
    </xf>
    <xf numFmtId="191" fontId="31" fillId="0" borderId="4" xfId="5" applyNumberFormat="1" applyFont="1" applyFill="1" applyBorder="1" applyAlignment="1">
      <alignment vertical="center"/>
    </xf>
    <xf numFmtId="187" fontId="30" fillId="33" borderId="4" xfId="1" applyNumberFormat="1" applyFont="1" applyFill="1" applyBorder="1" applyAlignment="1">
      <alignment vertical="center"/>
    </xf>
    <xf numFmtId="187" fontId="33" fillId="0" borderId="4" xfId="1" applyNumberFormat="1" applyFont="1" applyFill="1" applyBorder="1" applyAlignment="1">
      <alignment vertical="center"/>
    </xf>
    <xf numFmtId="10" fontId="31" fillId="11" borderId="4" xfId="5" applyNumberFormat="1" applyFont="1" applyFill="1" applyBorder="1" applyAlignment="1">
      <alignment horizontal="right" vertical="center"/>
    </xf>
    <xf numFmtId="3" fontId="32" fillId="0" borderId="4" xfId="1" applyNumberFormat="1" applyFont="1" applyFill="1" applyBorder="1" applyAlignment="1">
      <alignment horizontal="right" vertical="center"/>
    </xf>
    <xf numFmtId="191" fontId="32" fillId="0" borderId="4" xfId="5" applyNumberFormat="1" applyFont="1" applyFill="1" applyBorder="1" applyAlignment="1">
      <alignment vertical="center"/>
    </xf>
    <xf numFmtId="3" fontId="32" fillId="11" borderId="4" xfId="1" applyNumberFormat="1" applyFont="1" applyFill="1" applyBorder="1" applyAlignment="1">
      <alignment horizontal="right" vertical="center"/>
    </xf>
    <xf numFmtId="191" fontId="32" fillId="11" borderId="4" xfId="5" applyNumberFormat="1" applyFont="1" applyFill="1" applyBorder="1" applyAlignment="1">
      <alignment vertical="center"/>
    </xf>
    <xf numFmtId="187" fontId="19" fillId="11" borderId="4" xfId="1" applyNumberFormat="1" applyFont="1" applyFill="1" applyBorder="1" applyAlignment="1">
      <alignment horizontal="center" vertical="center"/>
    </xf>
    <xf numFmtId="0" fontId="58" fillId="0" borderId="0" xfId="0" applyFont="1"/>
    <xf numFmtId="3" fontId="59" fillId="0" borderId="0" xfId="0" applyNumberFormat="1" applyFont="1"/>
    <xf numFmtId="10" fontId="40" fillId="17" borderId="4" xfId="5" applyNumberFormat="1" applyFont="1" applyFill="1" applyBorder="1" applyAlignment="1">
      <alignment vertical="center"/>
    </xf>
    <xf numFmtId="43" fontId="47" fillId="34" borderId="16" xfId="1" applyFont="1" applyFill="1" applyBorder="1" applyAlignment="1">
      <alignment horizontal="center" vertical="center"/>
    </xf>
    <xf numFmtId="0" fontId="22" fillId="35" borderId="1" xfId="2" applyFont="1" applyFill="1" applyBorder="1" applyAlignment="1">
      <alignment horizontal="center" vertical="center"/>
    </xf>
    <xf numFmtId="0" fontId="29" fillId="11" borderId="4" xfId="0" applyFont="1" applyFill="1" applyBorder="1" applyAlignment="1">
      <alignment horizontal="center" vertical="center"/>
    </xf>
    <xf numFmtId="187" fontId="35" fillId="2" borderId="4" xfId="1" applyNumberFormat="1" applyFont="1" applyFill="1" applyBorder="1" applyAlignment="1">
      <alignment vertical="center"/>
    </xf>
    <xf numFmtId="0" fontId="34" fillId="9" borderId="4" xfId="0" applyFont="1" applyFill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44" fillId="11" borderId="4" xfId="2" applyFont="1" applyFill="1" applyBorder="1" applyAlignment="1">
      <alignment horizontal="center" vertical="center" wrapText="1"/>
    </xf>
    <xf numFmtId="0" fontId="44" fillId="11" borderId="4" xfId="2" applyFont="1" applyFill="1" applyBorder="1" applyAlignment="1">
      <alignment horizontal="center" vertical="center"/>
    </xf>
    <xf numFmtId="49" fontId="44" fillId="11" borderId="1" xfId="2" applyNumberFormat="1" applyFont="1" applyFill="1" applyBorder="1" applyAlignment="1">
      <alignment horizontal="center" vertical="center" wrapText="1"/>
    </xf>
    <xf numFmtId="49" fontId="44" fillId="11" borderId="2" xfId="2" applyNumberFormat="1" applyFont="1" applyFill="1" applyBorder="1" applyAlignment="1">
      <alignment horizontal="center" vertical="center" wrapText="1"/>
    </xf>
    <xf numFmtId="49" fontId="44" fillId="11" borderId="3" xfId="2" applyNumberFormat="1" applyFont="1" applyFill="1" applyBorder="1" applyAlignment="1">
      <alignment horizontal="center" vertical="center" wrapText="1"/>
    </xf>
    <xf numFmtId="0" fontId="44" fillId="11" borderId="7" xfId="2" applyFont="1" applyFill="1" applyBorder="1" applyAlignment="1">
      <alignment horizontal="center" vertical="center" wrapText="1"/>
    </xf>
    <xf numFmtId="0" fontId="44" fillId="11" borderId="8" xfId="2" applyFont="1" applyFill="1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19" fillId="11" borderId="8" xfId="0" applyFont="1" applyFill="1" applyBorder="1" applyAlignment="1">
      <alignment horizontal="center" vertical="center"/>
    </xf>
    <xf numFmtId="0" fontId="19" fillId="23" borderId="4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187" fontId="19" fillId="0" borderId="1" xfId="1" applyNumberFormat="1" applyFont="1" applyFill="1" applyBorder="1" applyAlignment="1">
      <alignment horizontal="right" vertical="center"/>
    </xf>
    <xf numFmtId="187" fontId="19" fillId="0" borderId="3" xfId="1" applyNumberFormat="1" applyFont="1" applyFill="1" applyBorder="1" applyAlignment="1">
      <alignment horizontal="right" vertical="center"/>
    </xf>
    <xf numFmtId="187" fontId="19" fillId="0" borderId="1" xfId="1" applyNumberFormat="1" applyFont="1" applyFill="1" applyBorder="1" applyAlignment="1">
      <alignment vertical="center"/>
    </xf>
    <xf numFmtId="187" fontId="19" fillId="0" borderId="3" xfId="1" applyNumberFormat="1" applyFont="1" applyFill="1" applyBorder="1" applyAlignment="1">
      <alignment vertical="center"/>
    </xf>
    <xf numFmtId="10" fontId="19" fillId="0" borderId="1" xfId="0" applyNumberFormat="1" applyFont="1" applyBorder="1" applyAlignment="1">
      <alignment horizontal="center" vertical="center"/>
    </xf>
    <xf numFmtId="10" fontId="19" fillId="0" borderId="3" xfId="0" applyNumberFormat="1" applyFont="1" applyBorder="1" applyAlignment="1">
      <alignment horizontal="center" vertical="center"/>
    </xf>
    <xf numFmtId="187" fontId="20" fillId="0" borderId="1" xfId="1" quotePrefix="1" applyNumberFormat="1" applyFont="1" applyFill="1" applyBorder="1" applyAlignment="1">
      <alignment horizontal="center" vertical="center"/>
    </xf>
    <xf numFmtId="187" fontId="20" fillId="0" borderId="3" xfId="1" quotePrefix="1" applyNumberFormat="1" applyFont="1" applyFill="1" applyBorder="1" applyAlignment="1">
      <alignment horizontal="center" vertical="center"/>
    </xf>
    <xf numFmtId="187" fontId="19" fillId="0" borderId="1" xfId="0" applyNumberFormat="1" applyFont="1" applyBorder="1" applyAlignment="1">
      <alignment horizontal="center" vertical="center"/>
    </xf>
    <xf numFmtId="187" fontId="19" fillId="0" borderId="3" xfId="0" applyNumberFormat="1" applyFont="1" applyBorder="1" applyAlignment="1">
      <alignment horizontal="center" vertical="center"/>
    </xf>
    <xf numFmtId="0" fontId="19" fillId="11" borderId="10" xfId="0" applyFont="1" applyFill="1" applyBorder="1" applyAlignment="1">
      <alignment horizontal="center" vertical="center" wrapText="1"/>
    </xf>
    <xf numFmtId="0" fontId="19" fillId="11" borderId="9" xfId="0" applyFont="1" applyFill="1" applyBorder="1" applyAlignment="1">
      <alignment horizontal="center" vertical="center" wrapText="1"/>
    </xf>
    <xf numFmtId="0" fontId="19" fillId="11" borderId="11" xfId="0" applyFont="1" applyFill="1" applyBorder="1" applyAlignment="1">
      <alignment horizontal="center" vertical="center" wrapText="1"/>
    </xf>
    <xf numFmtId="0" fontId="19" fillId="11" borderId="12" xfId="0" applyFont="1" applyFill="1" applyBorder="1" applyAlignment="1">
      <alignment horizontal="center" vertical="center" wrapText="1"/>
    </xf>
    <xf numFmtId="187" fontId="19" fillId="0" borderId="1" xfId="1" applyNumberFormat="1" applyFont="1" applyFill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17" fontId="19" fillId="11" borderId="1" xfId="0" quotePrefix="1" applyNumberFormat="1" applyFont="1" applyFill="1" applyBorder="1" applyAlignment="1">
      <alignment horizontal="center" vertical="center"/>
    </xf>
    <xf numFmtId="17" fontId="19" fillId="11" borderId="3" xfId="0" quotePrefix="1" applyNumberFormat="1" applyFont="1" applyFill="1" applyBorder="1" applyAlignment="1">
      <alignment horizontal="center" vertical="center"/>
    </xf>
    <xf numFmtId="0" fontId="19" fillId="11" borderId="7" xfId="0" applyFont="1" applyFill="1" applyBorder="1" applyAlignment="1">
      <alignment horizontal="center" vertical="center" wrapText="1"/>
    </xf>
    <xf numFmtId="0" fontId="19" fillId="11" borderId="8" xfId="0" applyFont="1" applyFill="1" applyBorder="1" applyAlignment="1">
      <alignment horizontal="center" vertical="center" wrapText="1"/>
    </xf>
    <xf numFmtId="10" fontId="19" fillId="11" borderId="1" xfId="0" applyNumberFormat="1" applyFont="1" applyFill="1" applyBorder="1" applyAlignment="1">
      <alignment horizontal="center" vertical="center"/>
    </xf>
    <xf numFmtId="10" fontId="19" fillId="11" borderId="3" xfId="0" applyNumberFormat="1" applyFont="1" applyFill="1" applyBorder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/>
    </xf>
    <xf numFmtId="10" fontId="20" fillId="0" borderId="3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2" fillId="28" borderId="4" xfId="2" applyFont="1" applyFill="1" applyBorder="1" applyAlignment="1">
      <alignment horizontal="center" vertical="center"/>
    </xf>
    <xf numFmtId="10" fontId="55" fillId="0" borderId="1" xfId="5" quotePrefix="1" applyNumberFormat="1" applyFont="1" applyFill="1" applyBorder="1" applyAlignment="1">
      <alignment horizontal="center" vertical="center"/>
    </xf>
    <xf numFmtId="10" fontId="55" fillId="0" borderId="3" xfId="5" applyNumberFormat="1" applyFont="1" applyFill="1" applyBorder="1" applyAlignment="1">
      <alignment horizontal="center" vertical="center"/>
    </xf>
    <xf numFmtId="10" fontId="37" fillId="0" borderId="1" xfId="5" quotePrefix="1" applyNumberFormat="1" applyFont="1" applyFill="1" applyBorder="1" applyAlignment="1">
      <alignment horizontal="center" vertical="center"/>
    </xf>
    <xf numFmtId="10" fontId="37" fillId="0" borderId="3" xfId="5" quotePrefix="1" applyNumberFormat="1" applyFont="1" applyFill="1" applyBorder="1" applyAlignment="1">
      <alignment horizontal="center" vertical="center"/>
    </xf>
    <xf numFmtId="10" fontId="37" fillId="0" borderId="1" xfId="0" applyNumberFormat="1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10" fontId="55" fillId="0" borderId="1" xfId="0" applyNumberFormat="1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0" fillId="29" borderId="4" xfId="0" applyFont="1" applyFill="1" applyBorder="1" applyAlignment="1">
      <alignment horizontal="center" vertical="center"/>
    </xf>
    <xf numFmtId="187" fontId="19" fillId="11" borderId="4" xfId="3" applyNumberFormat="1" applyFont="1" applyFill="1" applyBorder="1" applyAlignment="1">
      <alignment horizontal="center" vertical="center"/>
    </xf>
    <xf numFmtId="187" fontId="19" fillId="11" borderId="1" xfId="3" applyNumberFormat="1" applyFont="1" applyFill="1" applyBorder="1" applyAlignment="1">
      <alignment horizontal="center" vertical="center"/>
    </xf>
    <xf numFmtId="0" fontId="26" fillId="11" borderId="4" xfId="2" applyFont="1" applyFill="1" applyBorder="1" applyAlignment="1">
      <alignment horizontal="center" vertical="center"/>
    </xf>
    <xf numFmtId="190" fontId="45" fillId="11" borderId="4" xfId="2" quotePrefix="1" applyNumberFormat="1" applyFont="1" applyFill="1" applyBorder="1" applyAlignment="1">
      <alignment horizontal="center" vertical="center"/>
    </xf>
    <xf numFmtId="0" fontId="45" fillId="11" borderId="4" xfId="2" applyFont="1" applyFill="1" applyBorder="1" applyAlignment="1">
      <alignment horizontal="center" vertical="center"/>
    </xf>
    <xf numFmtId="0" fontId="26" fillId="11" borderId="7" xfId="2" applyFont="1" applyFill="1" applyBorder="1" applyAlignment="1">
      <alignment horizontal="center" vertical="center"/>
    </xf>
    <xf numFmtId="0" fontId="47" fillId="11" borderId="7" xfId="0" applyFont="1" applyFill="1" applyBorder="1" applyAlignment="1">
      <alignment horizontal="center" vertical="center"/>
    </xf>
    <xf numFmtId="0" fontId="47" fillId="11" borderId="6" xfId="0" applyFont="1" applyFill="1" applyBorder="1" applyAlignment="1">
      <alignment horizontal="center" vertical="center"/>
    </xf>
    <xf numFmtId="0" fontId="47" fillId="11" borderId="16" xfId="0" applyFont="1" applyFill="1" applyBorder="1" applyAlignment="1">
      <alignment horizontal="center" vertical="center"/>
    </xf>
    <xf numFmtId="0" fontId="47" fillId="11" borderId="7" xfId="0" applyFont="1" applyFill="1" applyBorder="1" applyAlignment="1">
      <alignment horizontal="center" vertical="center" wrapText="1"/>
    </xf>
    <xf numFmtId="0" fontId="47" fillId="11" borderId="6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/>
    </xf>
    <xf numFmtId="0" fontId="47" fillId="11" borderId="4" xfId="0" applyFont="1" applyFill="1" applyBorder="1" applyAlignment="1">
      <alignment horizontal="center" vertical="center" wrapText="1"/>
    </xf>
    <xf numFmtId="0" fontId="47" fillId="11" borderId="10" xfId="0" applyFont="1" applyFill="1" applyBorder="1" applyAlignment="1">
      <alignment horizontal="center" vertical="center"/>
    </xf>
    <xf numFmtId="0" fontId="47" fillId="11" borderId="13" xfId="0" applyFont="1" applyFill="1" applyBorder="1" applyAlignment="1">
      <alignment horizontal="center" vertical="center"/>
    </xf>
    <xf numFmtId="0" fontId="47" fillId="11" borderId="9" xfId="0" applyFont="1" applyFill="1" applyBorder="1" applyAlignment="1">
      <alignment horizontal="center" vertical="center"/>
    </xf>
    <xf numFmtId="0" fontId="20" fillId="11" borderId="1" xfId="0" quotePrefix="1" applyFont="1" applyFill="1" applyBorder="1" applyAlignment="1">
      <alignment horizontal="center" vertical="center"/>
    </xf>
    <xf numFmtId="0" fontId="20" fillId="11" borderId="3" xfId="0" quotePrefix="1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9" fillId="11" borderId="5" xfId="0" applyFont="1" applyFill="1" applyBorder="1" applyAlignment="1">
      <alignment horizontal="center" vertical="center"/>
    </xf>
    <xf numFmtId="0" fontId="22" fillId="18" borderId="5" xfId="0" applyFont="1" applyFill="1" applyBorder="1" applyAlignment="1">
      <alignment horizontal="center" vertical="center"/>
    </xf>
    <xf numFmtId="0" fontId="20" fillId="19" borderId="5" xfId="0" applyFont="1" applyFill="1" applyBorder="1" applyAlignment="1">
      <alignment horizontal="center" vertical="center"/>
    </xf>
    <xf numFmtId="0" fontId="20" fillId="11" borderId="4" xfId="0" quotePrefix="1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16" fontId="20" fillId="11" borderId="4" xfId="0" quotePrefix="1" applyNumberFormat="1" applyFont="1" applyFill="1" applyBorder="1" applyAlignment="1">
      <alignment horizontal="center" vertical="center"/>
    </xf>
    <xf numFmtId="16" fontId="20" fillId="11" borderId="1" xfId="0" quotePrefix="1" applyNumberFormat="1" applyFont="1" applyFill="1" applyBorder="1" applyAlignment="1">
      <alignment horizontal="center" vertical="center"/>
    </xf>
    <xf numFmtId="16" fontId="20" fillId="11" borderId="3" xfId="0" quotePrefix="1" applyNumberFormat="1" applyFont="1" applyFill="1" applyBorder="1" applyAlignment="1">
      <alignment horizontal="center" vertical="center"/>
    </xf>
    <xf numFmtId="0" fontId="19" fillId="19" borderId="5" xfId="0" applyFont="1" applyFill="1" applyBorder="1" applyAlignment="1">
      <alignment horizontal="center" vertical="center"/>
    </xf>
    <xf numFmtId="0" fontId="22" fillId="20" borderId="4" xfId="0" applyFont="1" applyFill="1" applyBorder="1" applyAlignment="1">
      <alignment horizontal="center" vertical="center"/>
    </xf>
    <xf numFmtId="0" fontId="19" fillId="19" borderId="4" xfId="0" applyFont="1" applyFill="1" applyBorder="1" applyAlignment="1">
      <alignment horizontal="center" vertical="center"/>
    </xf>
    <xf numFmtId="0" fontId="22" fillId="20" borderId="5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2" fillId="7" borderId="4" xfId="2" applyFont="1" applyFill="1" applyBorder="1" applyAlignment="1">
      <alignment horizontal="center" vertical="center"/>
    </xf>
    <xf numFmtId="0" fontId="19" fillId="11" borderId="13" xfId="0" applyFont="1" applyFill="1" applyBorder="1" applyAlignment="1">
      <alignment horizontal="center" vertical="center"/>
    </xf>
    <xf numFmtId="1" fontId="22" fillId="20" borderId="8" xfId="0" applyNumberFormat="1" applyFont="1" applyFill="1" applyBorder="1" applyAlignment="1">
      <alignment horizontal="center" vertical="center"/>
    </xf>
    <xf numFmtId="1" fontId="19" fillId="19" borderId="8" xfId="0" applyNumberFormat="1" applyFont="1" applyFill="1" applyBorder="1" applyAlignment="1">
      <alignment horizontal="center" vertical="center"/>
    </xf>
    <xf numFmtId="187" fontId="19" fillId="11" borderId="4" xfId="0" applyNumberFormat="1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40" fillId="11" borderId="7" xfId="2" applyFont="1" applyFill="1" applyBorder="1" applyAlignment="1">
      <alignment horizontal="center" vertical="center"/>
    </xf>
    <xf numFmtId="0" fontId="40" fillId="11" borderId="8" xfId="2" applyFont="1" applyFill="1" applyBorder="1" applyAlignment="1">
      <alignment horizontal="center" vertical="center"/>
    </xf>
    <xf numFmtId="9" fontId="19" fillId="11" borderId="4" xfId="6" applyNumberFormat="1" applyFont="1" applyFill="1" applyBorder="1" applyAlignment="1">
      <alignment horizontal="center" vertical="center"/>
    </xf>
    <xf numFmtId="9" fontId="19" fillId="11" borderId="4" xfId="2" applyNumberFormat="1" applyFont="1" applyFill="1" applyBorder="1" applyAlignment="1">
      <alignment horizontal="center" vertical="center"/>
    </xf>
    <xf numFmtId="187" fontId="19" fillId="11" borderId="3" xfId="3" applyNumberFormat="1" applyFont="1" applyFill="1" applyBorder="1" applyAlignment="1">
      <alignment horizontal="center" vertical="center"/>
    </xf>
    <xf numFmtId="0" fontId="19" fillId="11" borderId="4" xfId="2" applyFont="1" applyFill="1" applyBorder="1" applyAlignment="1">
      <alignment horizontal="center" vertical="center"/>
    </xf>
    <xf numFmtId="9" fontId="19" fillId="11" borderId="10" xfId="2" applyNumberFormat="1" applyFont="1" applyFill="1" applyBorder="1" applyAlignment="1">
      <alignment horizontal="center" vertical="center"/>
    </xf>
    <xf numFmtId="9" fontId="19" fillId="11" borderId="13" xfId="2" applyNumberFormat="1" applyFont="1" applyFill="1" applyBorder="1" applyAlignment="1">
      <alignment horizontal="center" vertical="center"/>
    </xf>
    <xf numFmtId="9" fontId="19" fillId="11" borderId="9" xfId="2" applyNumberFormat="1" applyFont="1" applyFill="1" applyBorder="1" applyAlignment="1">
      <alignment horizontal="center" vertical="center"/>
    </xf>
    <xf numFmtId="9" fontId="19" fillId="11" borderId="11" xfId="2" applyNumberFormat="1" applyFont="1" applyFill="1" applyBorder="1" applyAlignment="1">
      <alignment horizontal="center" vertical="center"/>
    </xf>
    <xf numFmtId="9" fontId="19" fillId="11" borderId="5" xfId="2" applyNumberFormat="1" applyFont="1" applyFill="1" applyBorder="1" applyAlignment="1">
      <alignment horizontal="center" vertical="center"/>
    </xf>
    <xf numFmtId="9" fontId="19" fillId="11" borderId="12" xfId="2" applyNumberFormat="1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9" fontId="15" fillId="14" borderId="6" xfId="4" applyFont="1" applyFill="1" applyBorder="1" applyAlignment="1">
      <alignment horizontal="center" vertical="center"/>
    </xf>
    <xf numFmtId="9" fontId="15" fillId="14" borderId="8" xfId="4" applyFont="1" applyFill="1" applyBorder="1" applyAlignment="1">
      <alignment horizontal="center" vertical="center"/>
    </xf>
    <xf numFmtId="0" fontId="15" fillId="14" borderId="4" xfId="2" applyFont="1" applyFill="1" applyBorder="1" applyAlignment="1">
      <alignment horizontal="center" vertical="center"/>
    </xf>
    <xf numFmtId="0" fontId="15" fillId="14" borderId="7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left" vertical="center"/>
    </xf>
    <xf numFmtId="0" fontId="15" fillId="14" borderId="0" xfId="2" applyFont="1" applyFill="1" applyAlignment="1">
      <alignment horizontal="left" vertical="center"/>
    </xf>
    <xf numFmtId="0" fontId="15" fillId="14" borderId="0" xfId="2" applyFont="1" applyFill="1" applyAlignment="1">
      <alignment horizontal="center" vertical="center"/>
    </xf>
    <xf numFmtId="0" fontId="15" fillId="14" borderId="14" xfId="2" applyFont="1" applyFill="1" applyBorder="1" applyAlignment="1">
      <alignment horizontal="center" vertical="center"/>
    </xf>
    <xf numFmtId="10" fontId="15" fillId="14" borderId="6" xfId="4" applyNumberFormat="1" applyFont="1" applyFill="1" applyBorder="1" applyAlignment="1">
      <alignment horizontal="center" vertical="center"/>
    </xf>
    <xf numFmtId="10" fontId="15" fillId="14" borderId="8" xfId="4" applyNumberFormat="1" applyFont="1" applyFill="1" applyBorder="1" applyAlignment="1">
      <alignment horizontal="center" vertical="center"/>
    </xf>
    <xf numFmtId="0" fontId="15" fillId="14" borderId="15" xfId="2" applyFont="1" applyFill="1" applyBorder="1" applyAlignment="1">
      <alignment horizontal="center" vertical="center"/>
    </xf>
    <xf numFmtId="0" fontId="15" fillId="14" borderId="11" xfId="2" applyFont="1" applyFill="1" applyBorder="1" applyAlignment="1">
      <alignment horizontal="center" vertical="center"/>
    </xf>
    <xf numFmtId="0" fontId="15" fillId="14" borderId="12" xfId="2" applyFont="1" applyFill="1" applyBorder="1" applyAlignment="1">
      <alignment horizontal="center" vertical="center"/>
    </xf>
    <xf numFmtId="0" fontId="15" fillId="14" borderId="6" xfId="2" applyFont="1" applyFill="1" applyBorder="1" applyAlignment="1">
      <alignment horizontal="center" vertical="center"/>
    </xf>
    <xf numFmtId="0" fontId="15" fillId="14" borderId="8" xfId="2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60" fillId="0" borderId="0" xfId="0" applyFont="1"/>
  </cellXfs>
  <cellStyles count="10">
    <cellStyle name="จุลภาค" xfId="1" builtinId="3"/>
    <cellStyle name="จุลภาค 2" xfId="8" xr:uid="{7F933E35-88C9-1644-A8B0-D15073D4EA9E}"/>
    <cellStyle name="จุลภาค 3" xfId="6" xr:uid="{EC511DF7-7E71-FA4D-86E6-F669E89844E9}"/>
    <cellStyle name="จุลภาค 3 2" xfId="3" xr:uid="{3D41F9ED-5459-9744-8F7C-2BDF9ADCC3B0}"/>
    <cellStyle name="ปกติ" xfId="0" builtinId="0"/>
    <cellStyle name="ปกติ 3 2" xfId="2" xr:uid="{1F4CD1BC-DA71-BE47-B755-4D23D0FC66DC}"/>
    <cellStyle name="ปกติ 3 2 2" xfId="9" xr:uid="{1FC5E84D-999B-134B-BBAF-E8569C317795}"/>
    <cellStyle name="ปกติ 6" xfId="7" xr:uid="{7DF2EBD2-4BE8-CF46-BB07-2D0B088BBE4D}"/>
    <cellStyle name="เปอร์เซ็นต์" xfId="5" builtinId="5"/>
    <cellStyle name="เปอร์เซ็นต์ 2" xfId="4" xr:uid="{95FB0913-135D-5840-9C9B-C3F68F3D3230}"/>
  </cellStyles>
  <dxfs count="0"/>
  <tableStyles count="0" defaultTableStyle="TableStyleMedium2" defaultPivotStyle="PivotStyleLight16"/>
  <colors>
    <mruColors>
      <color rgb="FF04A402"/>
      <color rgb="FFEEFCF3"/>
      <color rgb="FF71AD47"/>
      <color rgb="FFEDFBF2"/>
      <color rgb="FFECFAF1"/>
      <color rgb="FF9EECA7"/>
      <color rgb="FFF90418"/>
      <color rgb="FFE86863"/>
      <color rgb="FFB1E859"/>
      <color rgb="FFDEEB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Report!$C$43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Report!$A$44:$A$58</c:f>
              <c:strCache>
                <c:ptCount val="15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Festival เชียงใหม่</c:v>
                </c:pt>
                <c:pt idx="9">
                  <c:v>Yuedpao สาขา Central พัทยา</c:v>
                </c:pt>
                <c:pt idx="10">
                  <c:v>Yuedpao สาขา Central ปิ่นเกล้า</c:v>
                </c:pt>
                <c:pt idx="11">
                  <c:v>Yuedpao สาขา I am China Town</c:v>
                </c:pt>
                <c:pt idx="12">
                  <c:v>Yuedpao สาขา Robinson ชลบุรี</c:v>
                </c:pt>
                <c:pt idx="13">
                  <c:v>Yuedpao สาขา Big C อำนาจเจริญ</c:v>
                </c:pt>
                <c:pt idx="14">
                  <c:v>Yuedpao สาขา Robinson แม่สอด</c:v>
                </c:pt>
              </c:strCache>
            </c:strRef>
          </c:cat>
          <c:val>
            <c:numRef>
              <c:f>Report!$C$44:$C$58</c:f>
              <c:numCache>
                <c:formatCode>_(* #,##0_);_(* \(#,##0\);_(* "-"??_);_(@_)</c:formatCode>
                <c:ptCount val="15"/>
                <c:pt idx="0">
                  <c:v>900000</c:v>
                </c:pt>
                <c:pt idx="1">
                  <c:v>750000</c:v>
                </c:pt>
                <c:pt idx="2">
                  <c:v>950000</c:v>
                </c:pt>
                <c:pt idx="3">
                  <c:v>1000000</c:v>
                </c:pt>
                <c:pt idx="4">
                  <c:v>500000</c:v>
                </c:pt>
                <c:pt idx="5">
                  <c:v>500000</c:v>
                </c:pt>
                <c:pt idx="6">
                  <c:v>1000000</c:v>
                </c:pt>
                <c:pt idx="7">
                  <c:v>2200000</c:v>
                </c:pt>
                <c:pt idx="8">
                  <c:v>1200000</c:v>
                </c:pt>
                <c:pt idx="9">
                  <c:v>600000</c:v>
                </c:pt>
                <c:pt idx="10">
                  <c:v>1800000</c:v>
                </c:pt>
                <c:pt idx="11">
                  <c:v>350000</c:v>
                </c:pt>
                <c:pt idx="12">
                  <c:v>800000</c:v>
                </c:pt>
                <c:pt idx="13">
                  <c:v>550000</c:v>
                </c:pt>
                <c:pt idx="14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B-3C49-843B-EBB860FE044B}"/>
            </c:ext>
          </c:extLst>
        </c:ser>
        <c:ser>
          <c:idx val="1"/>
          <c:order val="1"/>
          <c:tx>
            <c:strRef>
              <c:f>Report!$D$43</c:f>
              <c:strCache>
                <c:ptCount val="1"/>
                <c:pt idx="0">
                  <c:v>SALE OUT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Report!$A$44:$A$58</c:f>
              <c:strCache>
                <c:ptCount val="15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Festival เชียงใหม่</c:v>
                </c:pt>
                <c:pt idx="9">
                  <c:v>Yuedpao สาขา Central พัทยา</c:v>
                </c:pt>
                <c:pt idx="10">
                  <c:v>Yuedpao สาขา Central ปิ่นเกล้า</c:v>
                </c:pt>
                <c:pt idx="11">
                  <c:v>Yuedpao สาขา I am China Town</c:v>
                </c:pt>
                <c:pt idx="12">
                  <c:v>Yuedpao สาขา Robinson ชลบุรี</c:v>
                </c:pt>
                <c:pt idx="13">
                  <c:v>Yuedpao สาขา Big C อำนาจเจริญ</c:v>
                </c:pt>
                <c:pt idx="14">
                  <c:v>Yuedpao สาขา Robinson แม่สอด</c:v>
                </c:pt>
              </c:strCache>
            </c:strRef>
          </c:cat>
          <c:val>
            <c:numRef>
              <c:f>Report!$D$44:$D$58</c:f>
              <c:numCache>
                <c:formatCode>_(* #,##0_);_(* \(#,##0\);_(* "-"??_);_(@_)</c:formatCode>
                <c:ptCount val="15"/>
                <c:pt idx="0">
                  <c:v>982007.5</c:v>
                </c:pt>
                <c:pt idx="1">
                  <c:v>784810.5</c:v>
                </c:pt>
                <c:pt idx="2">
                  <c:v>973986.2</c:v>
                </c:pt>
                <c:pt idx="3">
                  <c:v>1286829.5</c:v>
                </c:pt>
                <c:pt idx="4">
                  <c:v>610704.5</c:v>
                </c:pt>
                <c:pt idx="5">
                  <c:v>575938</c:v>
                </c:pt>
                <c:pt idx="6">
                  <c:v>1221787.5</c:v>
                </c:pt>
                <c:pt idx="7">
                  <c:v>1807232</c:v>
                </c:pt>
                <c:pt idx="8">
                  <c:v>1159000.5</c:v>
                </c:pt>
                <c:pt idx="9">
                  <c:v>691868</c:v>
                </c:pt>
                <c:pt idx="10">
                  <c:v>1737483.5</c:v>
                </c:pt>
                <c:pt idx="11">
                  <c:v>396760.54</c:v>
                </c:pt>
                <c:pt idx="12">
                  <c:v>920696.51</c:v>
                </c:pt>
                <c:pt idx="13">
                  <c:v>384029.5</c:v>
                </c:pt>
                <c:pt idx="14">
                  <c:v>770581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B-3C49-843B-EBB860FE0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0801584"/>
        <c:axId val="260803296"/>
      </c:barChart>
      <c:catAx>
        <c:axId val="26080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803296"/>
        <c:crosses val="autoZero"/>
        <c:auto val="1"/>
        <c:lblAlgn val="ctr"/>
        <c:lblOffset val="100"/>
        <c:noMultiLvlLbl val="0"/>
      </c:catAx>
      <c:valAx>
        <c:axId val="2608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80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'Survay Member '!$C$5:$C$20</c:f>
              <c:strCache>
                <c:ptCount val="16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Festival เชียงใหม่</c:v>
                </c:pt>
                <c:pt idx="9">
                  <c:v>Yuedpao สาขา Central พัทยา</c:v>
                </c:pt>
                <c:pt idx="10">
                  <c:v>Yuedpao สาขา Central ปิ่นเกล้า</c:v>
                </c:pt>
                <c:pt idx="11">
                  <c:v>Yuedpao สาขา I am China Town</c:v>
                </c:pt>
                <c:pt idx="12">
                  <c:v>Yuedpao สาขา Robinson ชลบุรี</c:v>
                </c:pt>
                <c:pt idx="13">
                  <c:v>Yuedpao สาขา Big C อำนาจเจริญ</c:v>
                </c:pt>
                <c:pt idx="14">
                  <c:v>Yuedpao สาขา Robinson แม่สอด</c:v>
                </c:pt>
                <c:pt idx="15">
                  <c:v>Yuedpao สาขา Sermthai Complex มหาสารคาม</c:v>
                </c:pt>
              </c:strCache>
            </c:strRef>
          </c:cat>
          <c:val>
            <c:numRef>
              <c:f>'Survay Member '!$E$5:$E$20</c:f>
              <c:numCache>
                <c:formatCode>General</c:formatCode>
                <c:ptCount val="16"/>
                <c:pt idx="0">
                  <c:v>185</c:v>
                </c:pt>
                <c:pt idx="1">
                  <c:v>297</c:v>
                </c:pt>
                <c:pt idx="2">
                  <c:v>193</c:v>
                </c:pt>
                <c:pt idx="3">
                  <c:v>218</c:v>
                </c:pt>
                <c:pt idx="4">
                  <c:v>154</c:v>
                </c:pt>
                <c:pt idx="5">
                  <c:v>132</c:v>
                </c:pt>
                <c:pt idx="6">
                  <c:v>245</c:v>
                </c:pt>
                <c:pt idx="7">
                  <c:v>282</c:v>
                </c:pt>
                <c:pt idx="8">
                  <c:v>215</c:v>
                </c:pt>
                <c:pt idx="9">
                  <c:v>288</c:v>
                </c:pt>
                <c:pt idx="10">
                  <c:v>259</c:v>
                </c:pt>
                <c:pt idx="11">
                  <c:v>67</c:v>
                </c:pt>
                <c:pt idx="12">
                  <c:v>325</c:v>
                </c:pt>
                <c:pt idx="13">
                  <c:v>96</c:v>
                </c:pt>
                <c:pt idx="14">
                  <c:v>306</c:v>
                </c:pt>
                <c:pt idx="15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F-BB46-A2E9-528F797CFB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'Survay Member '!$C$5:$C$20</c:f>
              <c:strCache>
                <c:ptCount val="16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Festival เชียงใหม่</c:v>
                </c:pt>
                <c:pt idx="9">
                  <c:v>Yuedpao สาขา Central พัทยา</c:v>
                </c:pt>
                <c:pt idx="10">
                  <c:v>Yuedpao สาขา Central ปิ่นเกล้า</c:v>
                </c:pt>
                <c:pt idx="11">
                  <c:v>Yuedpao สาขา I am China Town</c:v>
                </c:pt>
                <c:pt idx="12">
                  <c:v>Yuedpao สาขา Robinson ชลบุรี</c:v>
                </c:pt>
                <c:pt idx="13">
                  <c:v>Yuedpao สาขา Big C อำนาจเจริญ</c:v>
                </c:pt>
                <c:pt idx="14">
                  <c:v>Yuedpao สาขา Robinson แม่สอด</c:v>
                </c:pt>
                <c:pt idx="15">
                  <c:v>Yuedpao สาขา Sermthai Complex มหาสารคาม</c:v>
                </c:pt>
              </c:strCache>
            </c:strRef>
          </c:cat>
          <c:val>
            <c:numRef>
              <c:f>'Survay Member '!$I$5:$I$18</c:f>
            </c:numRef>
          </c:val>
          <c:extLst>
            <c:ext xmlns:c16="http://schemas.microsoft.com/office/drawing/2014/chart" uri="{C3380CC4-5D6E-409C-BE32-E72D297353CC}">
              <c16:uniqueId val="{00000001-1A1F-BB46-A2E9-528F797CF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425151"/>
        <c:axId val="2016921759"/>
      </c:barChart>
      <c:catAx>
        <c:axId val="20174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16921759"/>
        <c:crosses val="autoZero"/>
        <c:auto val="1"/>
        <c:lblAlgn val="ctr"/>
        <c:lblOffset val="100"/>
        <c:noMultiLvlLbl val="0"/>
      </c:catAx>
      <c:valAx>
        <c:axId val="201692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1742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716551446790749"/>
          <c:y val="0.18472159730033746"/>
          <c:w val="0.66408276429674118"/>
          <c:h val="0.6609909308211473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AEC-8B41-9AB7-13AE1A8101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AEC-8B41-9AB7-13AE1A8101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AEC-8B41-9AB7-13AE1A8101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3AEC-8B41-9AB7-13AE1A8101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AEC-8B41-9AB7-13AE1A8101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3AEC-8B41-9AB7-13AE1A8101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AEC-8B41-9AB7-13AE1A8101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3AEC-8B41-9AB7-13AE1A8101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AEC-8B41-9AB7-13AE1A8101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3AEC-8B41-9AB7-13AE1A8101D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AEC-8B41-9AB7-13AE1A8101D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3AEC-8B41-9AB7-13AE1A8101D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3AEC-8B41-9AB7-13AE1A8101D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3AEC-8B41-9AB7-13AE1A8101D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082F-C849-B3FB-6B2D9AA86FC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082F-C849-B3FB-6B2D9AA86FC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AEC-8B41-9AB7-13AE1A8101D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AEC-8B41-9AB7-13AE1A8101D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AEC-8B41-9AB7-13AE1A8101D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3AEC-8B41-9AB7-13AE1A8101D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AEC-8B41-9AB7-13AE1A8101D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3AEC-8B41-9AB7-13AE1A8101D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AEC-8B41-9AB7-13AE1A8101D6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3AEC-8B41-9AB7-13AE1A8101D6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AEC-8B41-9AB7-13AE1A8101D6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3AEC-8B41-9AB7-13AE1A8101D6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AEC-8B41-9AB7-13AE1A8101D6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3AEC-8B41-9AB7-13AE1A8101D6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3AEC-8B41-9AB7-13AE1A8101D6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3AEC-8B41-9AB7-13AE1A8101D6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082F-C849-B3FB-6B2D9AA86FC5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082F-C849-B3FB-6B2D9AA86FC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'STK-เดือน.'!$C$4:$C$19</c:f>
              <c:strCache>
                <c:ptCount val="16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Festival เชียงใหม่</c:v>
                </c:pt>
                <c:pt idx="9">
                  <c:v>Yuedpao สาขา Central พัทยา</c:v>
                </c:pt>
                <c:pt idx="10">
                  <c:v>Yuedpao สาขา Central ปิ่นเกล้า</c:v>
                </c:pt>
                <c:pt idx="11">
                  <c:v>Yuedpao สาขา I am China Town</c:v>
                </c:pt>
                <c:pt idx="12">
                  <c:v>Yuedpao สาขา Robinson ชลบุรี</c:v>
                </c:pt>
                <c:pt idx="13">
                  <c:v>Yuedpao สาขา Big C อำนาจเจริญ</c:v>
                </c:pt>
                <c:pt idx="14">
                  <c:v>Yuedpao สาขา Robinson แม่สอด</c:v>
                </c:pt>
                <c:pt idx="15">
                  <c:v>Yuedpao สาขา Sermthai Complex มหาสารคาม</c:v>
                </c:pt>
              </c:strCache>
            </c:strRef>
          </c:cat>
          <c:val>
            <c:numRef>
              <c:f>'STK-เดือน.'!$H$4:$H$19</c:f>
              <c:numCache>
                <c:formatCode>_(* #,##0.00_);_(* \(#,##0.00\);_(* "-"??_);_(@_)</c:formatCode>
                <c:ptCount val="16"/>
                <c:pt idx="0">
                  <c:v>1.9254633333333333</c:v>
                </c:pt>
                <c:pt idx="1">
                  <c:v>1.4880605128205129</c:v>
                </c:pt>
                <c:pt idx="2">
                  <c:v>1.8251329999999999</c:v>
                </c:pt>
                <c:pt idx="3">
                  <c:v>1.3509609090909092</c:v>
                </c:pt>
                <c:pt idx="4">
                  <c:v>1.6555666666666666</c:v>
                </c:pt>
                <c:pt idx="5">
                  <c:v>1.2523259259259258</c:v>
                </c:pt>
                <c:pt idx="6">
                  <c:v>1.9842367924528301</c:v>
                </c:pt>
                <c:pt idx="7">
                  <c:v>1.1087108695652175</c:v>
                </c:pt>
                <c:pt idx="8">
                  <c:v>1.4795515384615385</c:v>
                </c:pt>
                <c:pt idx="9">
                  <c:v>2.0367649999999999</c:v>
                </c:pt>
                <c:pt idx="10">
                  <c:v>1.3723616666666667</c:v>
                </c:pt>
                <c:pt idx="11">
                  <c:v>1.6461352380952381</c:v>
                </c:pt>
                <c:pt idx="12">
                  <c:v>0.8474135802469136</c:v>
                </c:pt>
                <c:pt idx="13">
                  <c:v>1.8740109090909092</c:v>
                </c:pt>
                <c:pt idx="14">
                  <c:v>1.1881635294117647</c:v>
                </c:pt>
                <c:pt idx="15">
                  <c:v>1.2380609090909092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C-8B41-9AB7-13AE1A8101D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 OUT WEEK END&amp;WEEK 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'Week day&amp;Week end'!$AG$9:$AJ$9</c:f>
              <c:numCache>
                <c:formatCode>General</c:formatCode>
                <c:ptCount val="4"/>
                <c:pt idx="0" formatCode="_(* #,##0_);_(* \(#,##0\);_(* &quot;-&quot;??_);_(@_)">
                  <c:v>794895.0675</c:v>
                </c:pt>
                <c:pt idx="2" formatCode="_(* #,##0_);_(* \(#,##0\);_(* &quot;-&quot;??_);_(@_)">
                  <c:v>436239.43550000002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4-E048-93F6-E8C3036DC9C4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'Week day&amp;Week end'!#REF!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4-E048-93F6-E8C3036DC9C4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35633280"/>
        <c:axId val="435739616"/>
      </c:lineChart>
      <c:catAx>
        <c:axId val="435633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35739616"/>
        <c:crosses val="autoZero"/>
        <c:auto val="1"/>
        <c:lblAlgn val="ctr"/>
        <c:lblOffset val="100"/>
        <c:noMultiLvlLbl val="0"/>
      </c:catAx>
      <c:valAx>
        <c:axId val="43573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3563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907141</xdr:colOff>
      <xdr:row>34</xdr:row>
      <xdr:rowOff>47777</xdr:rowOff>
    </xdr:from>
    <xdr:to>
      <xdr:col>34</xdr:col>
      <xdr:colOff>241904</xdr:colOff>
      <xdr:row>67</xdr:row>
      <xdr:rowOff>211667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629F69ED-0C11-6D65-3489-5A982D49D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760014</xdr:colOff>
      <xdr:row>5</xdr:row>
      <xdr:rowOff>205976</xdr:rowOff>
    </xdr:from>
    <xdr:to>
      <xdr:col>21</xdr:col>
      <xdr:colOff>218280</xdr:colOff>
      <xdr:row>18</xdr:row>
      <xdr:rowOff>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C25E7F5E-60A5-60F2-D988-4B9CFC5E1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304802</xdr:colOff>
      <xdr:row>3</xdr:row>
      <xdr:rowOff>16933</xdr:rowOff>
    </xdr:from>
    <xdr:to>
      <xdr:col>15</xdr:col>
      <xdr:colOff>829734</xdr:colOff>
      <xdr:row>19</xdr:row>
      <xdr:rowOff>101600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CEBB4B57-AFFB-99BA-5CE7-08D42C2C3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429558</xdr:colOff>
      <xdr:row>11</xdr:row>
      <xdr:rowOff>66489</xdr:rowOff>
    </xdr:from>
    <xdr:to>
      <xdr:col>36</xdr:col>
      <xdr:colOff>672352</xdr:colOff>
      <xdr:row>17</xdr:row>
      <xdr:rowOff>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E1D3192B-4D08-AAC2-D4EF-1AC3B1FF7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3060095</xdr:colOff>
      <xdr:row>15</xdr:row>
      <xdr:rowOff>46566</xdr:rowOff>
    </xdr:from>
    <xdr:to>
      <xdr:col>2</xdr:col>
      <xdr:colOff>4910666</xdr:colOff>
      <xdr:row>17</xdr:row>
      <xdr:rowOff>601737</xdr:rowOff>
    </xdr:to>
    <xdr:sp macro="" textlink="">
      <xdr:nvSpPr>
        <xdr:cNvPr id="2" name="วงรี 1">
          <a:extLst>
            <a:ext uri="{FF2B5EF4-FFF2-40B4-BE49-F238E27FC236}">
              <a16:creationId xmlns:a16="http://schemas.microsoft.com/office/drawing/2014/main" id="{FFCE3266-712C-8D42-80B0-96C2D585622E}"/>
            </a:ext>
          </a:extLst>
        </xdr:cNvPr>
        <xdr:cNvSpPr/>
      </xdr:nvSpPr>
      <xdr:spPr>
        <a:xfrm>
          <a:off x="10946795" y="6917266"/>
          <a:ext cx="1850571" cy="1825171"/>
        </a:xfrm>
        <a:prstGeom prst="ellipse">
          <a:avLst/>
        </a:prstGeom>
        <a:solidFill>
          <a:srgbClr val="00A4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8</xdr:col>
      <xdr:colOff>296333</xdr:colOff>
      <xdr:row>9</xdr:row>
      <xdr:rowOff>211666</xdr:rowOff>
    </xdr:from>
    <xdr:to>
      <xdr:col>14</xdr:col>
      <xdr:colOff>372533</xdr:colOff>
      <xdr:row>14</xdr:row>
      <xdr:rowOff>567266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42075D56-E30B-AE30-CEC6-33CCFA2E8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12666" y="4085166"/>
          <a:ext cx="5791200" cy="2641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WEEKLY%20FOR%20CEO/&#3618;&#3629;&#3604;&#3586;&#3634;&#3618;/%3e%3e2025/01-2025/01-31/Update%20Sale%201-26%20JAN'25%20.xls" TargetMode="External"/><Relationship Id="rId2" Type="http://schemas.openxmlformats.org/officeDocument/2006/relationships/externalLinkPath" Target="/Users/appleclub/Documents/&#3586;&#3657;&#3629;&#3617;&#3641;&#3621;&#3618;&#3629;&#3604;&#3586;&#3634;&#3618;/Whit%20CEO%20For%20Week/&#3618;&#3629;&#3604;&#3586;&#3634;&#3618;/%3e%3e2025/01-2025/01-26/Update%20Sale%201-26%20JAN'25%20.xls" TargetMode="External"/><Relationship Id="rId1" Type="http://schemas.openxmlformats.org/officeDocument/2006/relationships/externalLinkPath" Target="/Users/appleclub/Documents/&#3586;&#3657;&#3629;&#3617;&#3641;&#3621;&#3618;&#3629;&#3604;&#3586;&#3634;&#3618;/WEEKLY%20FOR%20CEO/&#3618;&#3629;&#3604;&#3586;&#3634;&#3618;/%3e%3e2025/01-2025/01-31/Update%20Sale%201-26%20JAN'25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RGET  JAN"/>
      <sheetName val="Target Event"/>
      <sheetName val="Data"/>
      <sheetName val="Data2"/>
      <sheetName val="Data3"/>
      <sheetName val="DAILY SALE All"/>
      <sheetName val="ใส่ยอดขาย "/>
      <sheetName val="สรุปยอดขาย Event"/>
      <sheetName val="สรุปยอดขาย"/>
      <sheetName val="ยอดขายแบ่ง Group  "/>
      <sheetName val="ยอดขายแบ่ง Group NEW"/>
      <sheetName val="Sheet1"/>
      <sheetName val="แบ่ง Group  Area"/>
      <sheetName val="Sheet2"/>
      <sheetName val="ป้าย SALE "/>
      <sheetName val="Sheet5"/>
      <sheetName val="เปรียบเทียบรายเดือน"/>
      <sheetName val="เปรียบเทียบรายสัปดาห์"/>
      <sheetName val="เปรียบเทียบรายปี"/>
      <sheetName val="Y ON Y "/>
      <sheetName val="Palexy Report "/>
      <sheetName val="Sheet9"/>
      <sheetName val="Sheet6"/>
      <sheetName val="ยอดขายแบ่ง Group   (3)"/>
      <sheetName val="Sheet3"/>
      <sheetName val="Survay Member GROUP"/>
      <sheetName val="Survay Member GROUP 5"/>
      <sheetName val="Sheet7"/>
      <sheetName val="WEEKDAY WEEK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B6" t="str">
            <v>Yuedpao สาขา Future Park Rangsit ชั้น 3</v>
          </cell>
          <cell r="C6">
            <v>1520000</v>
          </cell>
          <cell r="D6">
            <v>1710000</v>
          </cell>
          <cell r="E6">
            <v>2033000</v>
          </cell>
          <cell r="F6">
            <v>1900000</v>
          </cell>
          <cell r="G6">
            <v>2090000.0000000002</v>
          </cell>
          <cell r="H6">
            <v>2280000</v>
          </cell>
          <cell r="I6">
            <v>61290.322580645159</v>
          </cell>
          <cell r="J6">
            <v>1708173.5</v>
          </cell>
          <cell r="K6">
            <v>1596423.8317757009</v>
          </cell>
          <cell r="L6">
            <v>3897</v>
          </cell>
          <cell r="M6">
            <v>438.3303823453939</v>
          </cell>
          <cell r="N6">
            <v>65698.980769230766</v>
          </cell>
          <cell r="O6">
            <v>0.84022306935563207</v>
          </cell>
          <cell r="P6">
            <v>-76423.831775700906</v>
          </cell>
          <cell r="Q6">
            <v>-76423.831775700906</v>
          </cell>
          <cell r="R6">
            <v>113576.16822429909</v>
          </cell>
          <cell r="S6">
            <v>113576.16822429909</v>
          </cell>
          <cell r="T6">
            <v>303576.16822429909</v>
          </cell>
          <cell r="U6">
            <v>-0.15977693064436793</v>
          </cell>
          <cell r="V6">
            <v>60715.233644859822</v>
          </cell>
          <cell r="W6">
            <v>493576.16822429933</v>
          </cell>
          <cell r="X6">
            <v>98715.233644859865</v>
          </cell>
          <cell r="Y6">
            <v>683576.16822429909</v>
          </cell>
          <cell r="Z6">
            <v>136715.23364485981</v>
          </cell>
          <cell r="AA6">
            <v>2.8699601018482616E-2</v>
          </cell>
        </row>
        <row r="7">
          <cell r="B7" t="str">
            <v>Yuedpao สาขา Central ลาดพร้าว</v>
          </cell>
          <cell r="C7">
            <v>1440000</v>
          </cell>
          <cell r="D7">
            <v>1620000</v>
          </cell>
          <cell r="E7">
            <v>1926000</v>
          </cell>
          <cell r="F7">
            <v>1800000</v>
          </cell>
          <cell r="G7">
            <v>1980000.0000000002</v>
          </cell>
          <cell r="H7">
            <v>2160000</v>
          </cell>
          <cell r="I7">
            <v>58064.516129032258</v>
          </cell>
          <cell r="J7">
            <v>1654605.5</v>
          </cell>
          <cell r="K7">
            <v>1546360.2803738317</v>
          </cell>
          <cell r="L7">
            <v>3300</v>
          </cell>
          <cell r="M7">
            <v>501.39560606060604</v>
          </cell>
          <cell r="N7">
            <v>63638.673076923078</v>
          </cell>
          <cell r="O7">
            <v>0.85908904465212876</v>
          </cell>
          <cell r="P7">
            <v>-106360.28037383175</v>
          </cell>
          <cell r="Q7">
            <v>-106360.28037383175</v>
          </cell>
          <cell r="R7">
            <v>73639.719626168255</v>
          </cell>
          <cell r="S7">
            <v>73639.719626168255</v>
          </cell>
          <cell r="T7">
            <v>253639.71962616825</v>
          </cell>
          <cell r="U7">
            <v>-0.14091095534787126</v>
          </cell>
          <cell r="V7">
            <v>50727.943925233652</v>
          </cell>
          <cell r="W7">
            <v>433639.71962616849</v>
          </cell>
          <cell r="X7">
            <v>86727.943925233703</v>
          </cell>
          <cell r="Y7">
            <v>613639.71962616825</v>
          </cell>
          <cell r="Z7">
            <v>122727.94392523365</v>
          </cell>
          <cell r="AA7">
            <v>2.7799586923100573E-2</v>
          </cell>
        </row>
        <row r="8">
          <cell r="B8" t="str">
            <v>Yuedpao สาขา Central ขอนแก่น</v>
          </cell>
          <cell r="C8">
            <v>1280000</v>
          </cell>
          <cell r="D8">
            <v>1440000</v>
          </cell>
          <cell r="E8">
            <v>1712000</v>
          </cell>
          <cell r="F8">
            <v>1600000</v>
          </cell>
          <cell r="G8">
            <v>1760000.0000000002</v>
          </cell>
          <cell r="H8">
            <v>1920000</v>
          </cell>
          <cell r="I8">
            <v>51612.903225806454</v>
          </cell>
          <cell r="J8">
            <v>1374159</v>
          </cell>
          <cell r="K8">
            <v>1284260.7476635515</v>
          </cell>
          <cell r="L8">
            <v>3123</v>
          </cell>
          <cell r="M8">
            <v>440.01248799231507</v>
          </cell>
          <cell r="N8">
            <v>52852.269230769234</v>
          </cell>
          <cell r="O8">
            <v>0.80266296728971964</v>
          </cell>
          <cell r="P8">
            <v>-4260.7476635514759</v>
          </cell>
          <cell r="Q8">
            <v>-4260.7476635514759</v>
          </cell>
          <cell r="R8">
            <v>155739.25233644852</v>
          </cell>
          <cell r="S8">
            <v>155739.25233644852</v>
          </cell>
          <cell r="T8">
            <v>315739.25233644852</v>
          </cell>
          <cell r="U8">
            <v>-0.19733703271028033</v>
          </cell>
          <cell r="V8">
            <v>63147.850467289703</v>
          </cell>
          <cell r="W8">
            <v>475739.25233644876</v>
          </cell>
          <cell r="X8">
            <v>95147.850467289754</v>
          </cell>
          <cell r="Y8">
            <v>635739.25233644852</v>
          </cell>
          <cell r="Z8">
            <v>127147.85046728971</v>
          </cell>
          <cell r="AA8">
            <v>2.3087710373657627E-2</v>
          </cell>
        </row>
        <row r="9">
          <cell r="B9" t="str">
            <v>Yuedpao สาขา Fashion Island</v>
          </cell>
          <cell r="C9">
            <v>1440000</v>
          </cell>
          <cell r="D9">
            <v>1620000</v>
          </cell>
          <cell r="E9">
            <v>1926000</v>
          </cell>
          <cell r="F9">
            <v>1800000</v>
          </cell>
          <cell r="G9">
            <v>1980000.0000000002</v>
          </cell>
          <cell r="H9">
            <v>2160000</v>
          </cell>
          <cell r="I9">
            <v>58064.516129032258</v>
          </cell>
          <cell r="J9">
            <v>1628401</v>
          </cell>
          <cell r="K9">
            <v>1521870.093457944</v>
          </cell>
          <cell r="L9">
            <v>3241</v>
          </cell>
          <cell r="M9">
            <v>502.43782783091638</v>
          </cell>
          <cell r="N9">
            <v>62630.807692307695</v>
          </cell>
          <cell r="O9">
            <v>0.84548338525441336</v>
          </cell>
          <cell r="P9">
            <v>-81870.093457943993</v>
          </cell>
          <cell r="Q9">
            <v>-81870.093457943993</v>
          </cell>
          <cell r="R9">
            <v>98129.906542056007</v>
          </cell>
          <cell r="S9">
            <v>98129.906542056007</v>
          </cell>
          <cell r="T9">
            <v>278129.90654205601</v>
          </cell>
          <cell r="U9">
            <v>-0.15451661474558667</v>
          </cell>
          <cell r="V9">
            <v>55625.981308411203</v>
          </cell>
          <cell r="W9">
            <v>458129.90654205624</v>
          </cell>
          <cell r="X9">
            <v>91625.981308411254</v>
          </cell>
          <cell r="Y9">
            <v>638129.90654205601</v>
          </cell>
          <cell r="Z9">
            <v>127625.9813084112</v>
          </cell>
          <cell r="AA9">
            <v>2.7359316251012039E-2</v>
          </cell>
        </row>
        <row r="10">
          <cell r="B10" t="str">
            <v>Yuedpao สาขา Central เวสต์เกต</v>
          </cell>
          <cell r="C10">
            <v>2000000</v>
          </cell>
          <cell r="D10">
            <v>2250000</v>
          </cell>
          <cell r="E10">
            <v>2675000</v>
          </cell>
          <cell r="F10">
            <v>2500000</v>
          </cell>
          <cell r="G10">
            <v>2750000</v>
          </cell>
          <cell r="H10">
            <v>3000000</v>
          </cell>
          <cell r="I10">
            <v>80645.161290322576</v>
          </cell>
          <cell r="J10">
            <v>2015626</v>
          </cell>
          <cell r="K10">
            <v>1883762.6168224299</v>
          </cell>
          <cell r="L10">
            <v>3863</v>
          </cell>
          <cell r="M10">
            <v>521.77737509707481</v>
          </cell>
          <cell r="N10">
            <v>77524.076923076922</v>
          </cell>
          <cell r="O10">
            <v>0.75350504672897201</v>
          </cell>
          <cell r="P10">
            <v>116237.38317757007</v>
          </cell>
          <cell r="Q10">
            <v>116237.38317757007</v>
          </cell>
          <cell r="R10">
            <v>366237.38317757007</v>
          </cell>
          <cell r="S10">
            <v>366237.38317757007</v>
          </cell>
          <cell r="T10">
            <v>616237.38317757007</v>
          </cell>
          <cell r="U10">
            <v>-0.24649495327102802</v>
          </cell>
          <cell r="V10">
            <v>123247.47663551402</v>
          </cell>
          <cell r="W10">
            <v>866237.38317757007</v>
          </cell>
          <cell r="X10">
            <v>173247.476635514</v>
          </cell>
          <cell r="Y10">
            <v>1116237.3831775701</v>
          </cell>
          <cell r="Z10">
            <v>223247.476635514</v>
          </cell>
          <cell r="AA10">
            <v>3.3865214512741264E-2</v>
          </cell>
        </row>
        <row r="11">
          <cell r="B11" t="str">
            <v>Yuedpao สาขา Central ศาลายา</v>
          </cell>
          <cell r="C11">
            <v>1000000</v>
          </cell>
          <cell r="D11">
            <v>1125000</v>
          </cell>
          <cell r="E11">
            <v>1337500</v>
          </cell>
          <cell r="F11">
            <v>1250000</v>
          </cell>
          <cell r="G11">
            <v>1375000</v>
          </cell>
          <cell r="H11">
            <v>1500000</v>
          </cell>
          <cell r="I11">
            <v>40322.580645161288</v>
          </cell>
          <cell r="J11">
            <v>971652.1</v>
          </cell>
          <cell r="K11">
            <v>908086.0747663551</v>
          </cell>
          <cell r="L11">
            <v>2115</v>
          </cell>
          <cell r="M11">
            <v>459.40997635933803</v>
          </cell>
          <cell r="N11">
            <v>37371.234615384616</v>
          </cell>
          <cell r="O11">
            <v>0.72646885981308407</v>
          </cell>
          <cell r="P11">
            <v>91913.925233644899</v>
          </cell>
          <cell r="Q11">
            <v>91913.925233644899</v>
          </cell>
          <cell r="R11">
            <v>216913.9252336449</v>
          </cell>
          <cell r="S11">
            <v>216913.9252336449</v>
          </cell>
          <cell r="T11">
            <v>341913.9252336449</v>
          </cell>
          <cell r="U11">
            <v>-0.27353114018691593</v>
          </cell>
          <cell r="V11">
            <v>68382.785046728983</v>
          </cell>
          <cell r="W11">
            <v>466913.9252336449</v>
          </cell>
          <cell r="X11">
            <v>93382.785046728983</v>
          </cell>
          <cell r="Y11">
            <v>591913.9252336449</v>
          </cell>
          <cell r="Z11">
            <v>118382.78504672898</v>
          </cell>
          <cell r="AA11">
            <v>1.6325055738641753E-2</v>
          </cell>
        </row>
        <row r="12">
          <cell r="B12" t="str">
            <v>Yuedpao สาขา The Mall งามวงศ์วาน</v>
          </cell>
          <cell r="C12">
            <v>1000000</v>
          </cell>
          <cell r="D12">
            <v>1125000</v>
          </cell>
          <cell r="E12">
            <v>1337500</v>
          </cell>
          <cell r="F12">
            <v>1250000</v>
          </cell>
          <cell r="G12">
            <v>1375000</v>
          </cell>
          <cell r="H12">
            <v>1500000</v>
          </cell>
          <cell r="I12">
            <v>40322.580645161288</v>
          </cell>
          <cell r="J12">
            <v>1196264.5</v>
          </cell>
          <cell r="K12">
            <v>1118004.2056074766</v>
          </cell>
          <cell r="L12">
            <v>2641</v>
          </cell>
          <cell r="M12">
            <v>452.95891707686485</v>
          </cell>
          <cell r="N12">
            <v>46010.173076923078</v>
          </cell>
          <cell r="O12">
            <v>0.89440336448598134</v>
          </cell>
          <cell r="P12">
            <v>-118004.20560747664</v>
          </cell>
          <cell r="Q12">
            <v>-118004.20560747664</v>
          </cell>
          <cell r="R12">
            <v>6995.7943925233558</v>
          </cell>
          <cell r="S12">
            <v>6995.7943925233558</v>
          </cell>
          <cell r="T12">
            <v>131995.79439252336</v>
          </cell>
          <cell r="U12">
            <v>-0.10559663551401868</v>
          </cell>
          <cell r="V12">
            <v>26399.15887850467</v>
          </cell>
          <cell r="W12">
            <v>256995.79439252336</v>
          </cell>
          <cell r="X12">
            <v>51399.15887850467</v>
          </cell>
          <cell r="Y12">
            <v>381995.79439252336</v>
          </cell>
          <cell r="Z12">
            <v>76399.158878504677</v>
          </cell>
          <cell r="AA12">
            <v>2.0098844679755656E-2</v>
          </cell>
        </row>
        <row r="13">
          <cell r="B13" t="str">
            <v>Yuedpao สาขา Central หาดใหญ่</v>
          </cell>
          <cell r="C13">
            <v>1120000</v>
          </cell>
          <cell r="D13">
            <v>1260000</v>
          </cell>
          <cell r="E13">
            <v>1498000</v>
          </cell>
          <cell r="F13">
            <v>1400000</v>
          </cell>
          <cell r="G13">
            <v>1540000.0000000002</v>
          </cell>
          <cell r="H13">
            <v>1680000</v>
          </cell>
          <cell r="I13">
            <v>45161.290322580644</v>
          </cell>
          <cell r="J13">
            <v>1326491</v>
          </cell>
          <cell r="K13">
            <v>1239711.214953271</v>
          </cell>
          <cell r="L13">
            <v>2889</v>
          </cell>
          <cell r="M13">
            <v>459.1523018345448</v>
          </cell>
          <cell r="N13">
            <v>51018.884615384617</v>
          </cell>
          <cell r="O13">
            <v>0.88550801068090779</v>
          </cell>
          <cell r="P13">
            <v>-119711.21495327097</v>
          </cell>
          <cell r="Q13">
            <v>-119711.21495327097</v>
          </cell>
          <cell r="R13">
            <v>20288.785046729026</v>
          </cell>
          <cell r="S13">
            <v>20288.785046729026</v>
          </cell>
          <cell r="T13">
            <v>160288.78504672903</v>
          </cell>
          <cell r="U13">
            <v>-0.11449198931909216</v>
          </cell>
          <cell r="V13">
            <v>32057.757009345805</v>
          </cell>
          <cell r="W13">
            <v>300288.78504672926</v>
          </cell>
          <cell r="X13">
            <v>60057.757009345849</v>
          </cell>
          <cell r="Y13">
            <v>440288.78504672903</v>
          </cell>
          <cell r="Z13">
            <v>88057.757009345805</v>
          </cell>
          <cell r="AA13">
            <v>2.2286824174832371E-2</v>
          </cell>
        </row>
        <row r="14">
          <cell r="B14" t="str">
            <v>Yuedpao สาขา The Mall บางกะปิ</v>
          </cell>
          <cell r="C14">
            <v>1280000</v>
          </cell>
          <cell r="D14">
            <v>1440000</v>
          </cell>
          <cell r="E14">
            <v>1712000</v>
          </cell>
          <cell r="F14">
            <v>1600000</v>
          </cell>
          <cell r="G14">
            <v>1760000.0000000002</v>
          </cell>
          <cell r="H14">
            <v>1920000</v>
          </cell>
          <cell r="I14">
            <v>51612.903225806454</v>
          </cell>
          <cell r="J14">
            <v>1080418</v>
          </cell>
          <cell r="K14">
            <v>1009736.4485981308</v>
          </cell>
          <cell r="L14">
            <v>2398</v>
          </cell>
          <cell r="M14">
            <v>450.54962468723937</v>
          </cell>
          <cell r="N14">
            <v>41554.538461538461</v>
          </cell>
          <cell r="O14">
            <v>0.63108528037383183</v>
          </cell>
          <cell r="P14">
            <v>270263.55140186916</v>
          </cell>
          <cell r="Q14">
            <v>270263.55140186916</v>
          </cell>
          <cell r="R14">
            <v>430263.55140186916</v>
          </cell>
          <cell r="S14">
            <v>430263.55140186916</v>
          </cell>
          <cell r="T14">
            <v>590263.55140186916</v>
          </cell>
          <cell r="U14">
            <v>-0.36891471962616823</v>
          </cell>
          <cell r="V14">
            <v>118052.71028037384</v>
          </cell>
          <cell r="W14">
            <v>750263.55140186939</v>
          </cell>
          <cell r="X14">
            <v>150052.71028037387</v>
          </cell>
          <cell r="Y14">
            <v>910263.55140186916</v>
          </cell>
          <cell r="Z14">
            <v>182052.71028037384</v>
          </cell>
          <cell r="AA14">
            <v>1.8152468430863111E-2</v>
          </cell>
        </row>
        <row r="15">
          <cell r="B15" t="str">
            <v>Yuedpao สาขา Central สุราษฎร์ธานี</v>
          </cell>
          <cell r="C15">
            <v>1120000</v>
          </cell>
          <cell r="D15">
            <v>1260000</v>
          </cell>
          <cell r="E15">
            <v>1498000</v>
          </cell>
          <cell r="F15">
            <v>1400000</v>
          </cell>
          <cell r="G15">
            <v>1540000.0000000002</v>
          </cell>
          <cell r="H15">
            <v>1680000</v>
          </cell>
          <cell r="I15">
            <v>45161.290322580644</v>
          </cell>
          <cell r="J15">
            <v>1244061.5</v>
          </cell>
          <cell r="K15">
            <v>1162674.2990654206</v>
          </cell>
          <cell r="L15">
            <v>2758</v>
          </cell>
          <cell r="M15">
            <v>451.07378535170415</v>
          </cell>
          <cell r="N15">
            <v>47848.519230769234</v>
          </cell>
          <cell r="O15">
            <v>0.8304816421895862</v>
          </cell>
          <cell r="P15">
            <v>-42674.299065420637</v>
          </cell>
          <cell r="Q15">
            <v>-42674.299065420637</v>
          </cell>
          <cell r="R15">
            <v>97325.700934579363</v>
          </cell>
          <cell r="S15">
            <v>97325.700934579363</v>
          </cell>
          <cell r="T15">
            <v>237325.70093457936</v>
          </cell>
          <cell r="U15">
            <v>-0.16951835781041383</v>
          </cell>
          <cell r="V15">
            <v>47465.140186915873</v>
          </cell>
          <cell r="W15">
            <v>377325.7009345796</v>
          </cell>
          <cell r="X15">
            <v>75465.140186915916</v>
          </cell>
          <cell r="Y15">
            <v>517325.70093457936</v>
          </cell>
          <cell r="Z15">
            <v>103465.14018691587</v>
          </cell>
          <cell r="AA15">
            <v>2.0901898251234442E-2</v>
          </cell>
        </row>
        <row r="16">
          <cell r="B16" t="str">
            <v>Yuedpao สาขา Central จันทบุรี</v>
          </cell>
          <cell r="C16">
            <v>960000</v>
          </cell>
          <cell r="D16">
            <v>1080000</v>
          </cell>
          <cell r="E16">
            <v>1284000</v>
          </cell>
          <cell r="F16">
            <v>1200000</v>
          </cell>
          <cell r="G16">
            <v>1320000</v>
          </cell>
          <cell r="H16">
            <v>1440000</v>
          </cell>
          <cell r="I16">
            <v>38709.677419354841</v>
          </cell>
          <cell r="J16">
            <v>867021.9</v>
          </cell>
          <cell r="K16">
            <v>810300.84112149535</v>
          </cell>
          <cell r="L16">
            <v>1763</v>
          </cell>
          <cell r="M16">
            <v>491.7878048780488</v>
          </cell>
          <cell r="N16">
            <v>33346.996153846158</v>
          </cell>
          <cell r="O16">
            <v>0.67525070093457951</v>
          </cell>
          <cell r="P16">
            <v>149699.15887850465</v>
          </cell>
          <cell r="Q16">
            <v>149699.15887850465</v>
          </cell>
          <cell r="R16">
            <v>269699.15887850465</v>
          </cell>
          <cell r="S16">
            <v>269699.15887850465</v>
          </cell>
          <cell r="T16">
            <v>389699.15887850465</v>
          </cell>
          <cell r="U16">
            <v>-0.32474929906542055</v>
          </cell>
          <cell r="V16">
            <v>77939.831775700935</v>
          </cell>
          <cell r="W16">
            <v>509699.15887850465</v>
          </cell>
          <cell r="X16">
            <v>101939.83177570094</v>
          </cell>
          <cell r="Y16">
            <v>629699.15887850465</v>
          </cell>
          <cell r="Z16">
            <v>125939.83177570094</v>
          </cell>
          <cell r="AA16">
            <v>1.4567128341639026E-2</v>
          </cell>
        </row>
        <row r="17">
          <cell r="B17" t="str">
            <v>Yuedpao สาขา Future Park Rangsit (Flagship store)</v>
          </cell>
          <cell r="C17">
            <v>1600000</v>
          </cell>
          <cell r="D17">
            <v>1800000</v>
          </cell>
          <cell r="E17">
            <v>2140000</v>
          </cell>
          <cell r="F17">
            <v>2000000</v>
          </cell>
          <cell r="G17">
            <v>2200000</v>
          </cell>
          <cell r="H17">
            <v>2400000</v>
          </cell>
          <cell r="I17">
            <v>64516.129032258068</v>
          </cell>
          <cell r="J17">
            <v>1714009</v>
          </cell>
          <cell r="K17">
            <v>1601877.5700934581</v>
          </cell>
          <cell r="L17">
            <v>3286</v>
          </cell>
          <cell r="M17">
            <v>521.60955569080954</v>
          </cell>
          <cell r="N17">
            <v>65923.423076923078</v>
          </cell>
          <cell r="O17">
            <v>0.800938785046729</v>
          </cell>
          <cell r="P17">
            <v>-1877.5700934580527</v>
          </cell>
          <cell r="Q17">
            <v>-1877.5700934580527</v>
          </cell>
          <cell r="R17">
            <v>198122.42990654195</v>
          </cell>
          <cell r="S17">
            <v>198122.42990654195</v>
          </cell>
          <cell r="T17">
            <v>398122.42990654195</v>
          </cell>
          <cell r="U17">
            <v>-0.19906121495327098</v>
          </cell>
          <cell r="V17">
            <v>79624.485981308389</v>
          </cell>
          <cell r="W17">
            <v>598122.42990654195</v>
          </cell>
          <cell r="X17">
            <v>119624.48598130839</v>
          </cell>
          <cell r="Y17">
            <v>798122.42990654195</v>
          </cell>
          <cell r="Z17">
            <v>159624.48598130839</v>
          </cell>
          <cell r="AA17">
            <v>2.8797645228712639E-2</v>
          </cell>
        </row>
        <row r="18">
          <cell r="B18" t="str">
            <v>Yuedpao สาขา Central นครศรีธรรมราช</v>
          </cell>
          <cell r="C18">
            <v>960000</v>
          </cell>
          <cell r="D18">
            <v>1080000</v>
          </cell>
          <cell r="E18">
            <v>1284000</v>
          </cell>
          <cell r="F18">
            <v>1200000</v>
          </cell>
          <cell r="G18">
            <v>1320000</v>
          </cell>
          <cell r="H18">
            <v>1440000</v>
          </cell>
          <cell r="I18">
            <v>38709.677419354841</v>
          </cell>
          <cell r="J18">
            <v>1120525</v>
          </cell>
          <cell r="K18">
            <v>1047219.6261682243</v>
          </cell>
          <cell r="L18">
            <v>2635</v>
          </cell>
          <cell r="M18">
            <v>425.24667931688805</v>
          </cell>
          <cell r="N18">
            <v>43097.115384615383</v>
          </cell>
          <cell r="O18">
            <v>0.87268302180685353</v>
          </cell>
          <cell r="P18">
            <v>-87219.626168224262</v>
          </cell>
          <cell r="Q18">
            <v>-87219.626168224262</v>
          </cell>
          <cell r="R18">
            <v>32780.373831775738</v>
          </cell>
          <cell r="S18">
            <v>32780.373831775738</v>
          </cell>
          <cell r="T18">
            <v>152780.37383177574</v>
          </cell>
          <cell r="U18">
            <v>-0.12731697819314644</v>
          </cell>
          <cell r="V18">
            <v>30556.074766355148</v>
          </cell>
          <cell r="W18">
            <v>272780.37383177574</v>
          </cell>
          <cell r="X18">
            <v>54556.074766355145</v>
          </cell>
          <cell r="Y18">
            <v>392780.37383177574</v>
          </cell>
          <cell r="Z18">
            <v>78556.074766355145</v>
          </cell>
          <cell r="AA18">
            <v>1.8826319710050082E-2</v>
          </cell>
        </row>
        <row r="19">
          <cell r="B19" t="str">
            <v>Yuedpao สาขา Central พัทยา</v>
          </cell>
          <cell r="C19">
            <v>1520000</v>
          </cell>
          <cell r="D19">
            <v>1710000</v>
          </cell>
          <cell r="E19">
            <v>2033000</v>
          </cell>
          <cell r="F19">
            <v>1900000</v>
          </cell>
          <cell r="G19">
            <v>2090000.0000000002</v>
          </cell>
          <cell r="H19">
            <v>2280000</v>
          </cell>
          <cell r="I19">
            <v>61290.322580645159</v>
          </cell>
          <cell r="J19">
            <v>1802145.5</v>
          </cell>
          <cell r="K19">
            <v>1684248.1308411215</v>
          </cell>
          <cell r="L19">
            <v>3399</v>
          </cell>
          <cell r="M19">
            <v>530.1987349220359</v>
          </cell>
          <cell r="N19">
            <v>69313.288461538468</v>
          </cell>
          <cell r="O19">
            <v>0.8864463846532219</v>
          </cell>
          <cell r="P19">
            <v>-164248.13084112154</v>
          </cell>
          <cell r="Q19">
            <v>-164248.13084112154</v>
          </cell>
          <cell r="R19">
            <v>25751.869158878457</v>
          </cell>
          <cell r="S19">
            <v>25751.869158878457</v>
          </cell>
          <cell r="T19">
            <v>215751.86915887846</v>
          </cell>
          <cell r="U19">
            <v>-0.11355361534677813</v>
          </cell>
          <cell r="V19">
            <v>43150.373831775694</v>
          </cell>
          <cell r="W19">
            <v>405751.86915887869</v>
          </cell>
          <cell r="X19">
            <v>81150.373831775738</v>
          </cell>
          <cell r="Y19">
            <v>595751.86915887846</v>
          </cell>
          <cell r="Z19">
            <v>119150.37383177569</v>
          </cell>
          <cell r="AA19">
            <v>3.0278456390556267E-2</v>
          </cell>
        </row>
        <row r="20">
          <cell r="B20" t="str">
            <v>Yuedpao สาขา Central พระราม 2</v>
          </cell>
          <cell r="C20">
            <v>1040000</v>
          </cell>
          <cell r="D20">
            <v>1170000</v>
          </cell>
          <cell r="E20">
            <v>1391000</v>
          </cell>
          <cell r="F20">
            <v>1300000</v>
          </cell>
          <cell r="G20">
            <v>1430000</v>
          </cell>
          <cell r="H20">
            <v>1560000</v>
          </cell>
          <cell r="I20">
            <v>41935.483870967742</v>
          </cell>
          <cell r="J20">
            <v>1054107.5</v>
          </cell>
          <cell r="K20">
            <v>985147.1962616822</v>
          </cell>
          <cell r="L20">
            <v>2288</v>
          </cell>
          <cell r="M20">
            <v>460.71131993006992</v>
          </cell>
          <cell r="N20">
            <v>40542.596153846156</v>
          </cell>
          <cell r="O20">
            <v>0.75780553558590935</v>
          </cell>
          <cell r="P20">
            <v>54852.803738317802</v>
          </cell>
          <cell r="Q20">
            <v>54852.803738317802</v>
          </cell>
          <cell r="R20">
            <v>184852.8037383178</v>
          </cell>
          <cell r="S20">
            <v>184852.8037383178</v>
          </cell>
          <cell r="T20">
            <v>314852.8037383178</v>
          </cell>
          <cell r="U20">
            <v>-0.24219446441409062</v>
          </cell>
          <cell r="V20">
            <v>62970.560747663563</v>
          </cell>
          <cell r="W20">
            <v>444852.8037383178</v>
          </cell>
          <cell r="X20">
            <v>88970.560747663563</v>
          </cell>
          <cell r="Y20">
            <v>574852.8037383178</v>
          </cell>
          <cell r="Z20">
            <v>114970.56074766356</v>
          </cell>
          <cell r="AA20">
            <v>1.7710416816904231E-2</v>
          </cell>
        </row>
        <row r="21">
          <cell r="B21" t="str">
            <v>Yuedpao สาขา SIAM SQUARE</v>
          </cell>
          <cell r="C21">
            <v>800000</v>
          </cell>
          <cell r="D21">
            <v>900000</v>
          </cell>
          <cell r="E21">
            <v>1070000</v>
          </cell>
          <cell r="F21">
            <v>1000000</v>
          </cell>
          <cell r="G21">
            <v>1100000</v>
          </cell>
          <cell r="H21">
            <v>1200000</v>
          </cell>
          <cell r="I21">
            <v>32258.064516129034</v>
          </cell>
          <cell r="J21">
            <v>928163</v>
          </cell>
          <cell r="K21">
            <v>867442.05607476633</v>
          </cell>
          <cell r="L21">
            <v>1757</v>
          </cell>
          <cell r="M21">
            <v>528.26579396698924</v>
          </cell>
          <cell r="N21">
            <v>35698.576923076922</v>
          </cell>
          <cell r="O21">
            <v>0.86744205607476632</v>
          </cell>
          <cell r="P21">
            <v>-67442.056074766326</v>
          </cell>
          <cell r="Q21">
            <v>-67442.056074766326</v>
          </cell>
          <cell r="R21">
            <v>32557.943925233674</v>
          </cell>
          <cell r="S21">
            <v>32557.943925233674</v>
          </cell>
          <cell r="T21">
            <v>132557.94392523367</v>
          </cell>
          <cell r="U21">
            <v>-0.13255794392523368</v>
          </cell>
          <cell r="V21">
            <v>26511.588785046733</v>
          </cell>
          <cell r="W21">
            <v>232557.94392523367</v>
          </cell>
          <cell r="X21">
            <v>46511.588785046733</v>
          </cell>
          <cell r="Y21">
            <v>332557.94392523367</v>
          </cell>
          <cell r="Z21">
            <v>66511.588785046741</v>
          </cell>
          <cell r="AA21">
            <v>1.5594380652853986E-2</v>
          </cell>
        </row>
        <row r="22">
          <cell r="B22" t="str">
            <v>Yuedpao สาขา Robinson ภูเก็ต</v>
          </cell>
          <cell r="C22">
            <v>800000</v>
          </cell>
          <cell r="D22">
            <v>900000</v>
          </cell>
          <cell r="E22">
            <v>1070000</v>
          </cell>
          <cell r="F22">
            <v>1000000</v>
          </cell>
          <cell r="G22">
            <v>1100000</v>
          </cell>
          <cell r="H22">
            <v>1200000</v>
          </cell>
          <cell r="I22">
            <v>32258.064516129034</v>
          </cell>
          <cell r="J22">
            <v>980400.5</v>
          </cell>
          <cell r="K22">
            <v>916262.14953271032</v>
          </cell>
          <cell r="L22">
            <v>1973</v>
          </cell>
          <cell r="M22">
            <v>496.90851495184995</v>
          </cell>
          <cell r="N22">
            <v>37707.711538461539</v>
          </cell>
          <cell r="O22">
            <v>0.91626214953271035</v>
          </cell>
          <cell r="P22">
            <v>-116262.14953271032</v>
          </cell>
          <cell r="Q22">
            <v>-116262.14953271032</v>
          </cell>
          <cell r="R22">
            <v>-16262.149532710318</v>
          </cell>
          <cell r="S22">
            <v>-16262.149532710318</v>
          </cell>
          <cell r="T22">
            <v>83737.850467289682</v>
          </cell>
          <cell r="U22">
            <v>-8.3737850467289682E-2</v>
          </cell>
          <cell r="V22">
            <v>16747.570093457936</v>
          </cell>
          <cell r="W22">
            <v>183737.85046728968</v>
          </cell>
          <cell r="X22">
            <v>36747.570093457936</v>
          </cell>
          <cell r="Y22">
            <v>283737.85046728968</v>
          </cell>
          <cell r="Z22">
            <v>56747.570093457936</v>
          </cell>
          <cell r="AA22">
            <v>1.6472040567495554E-2</v>
          </cell>
        </row>
        <row r="23">
          <cell r="B23" t="str">
            <v>Yuedpao สาขา Central ระยอง</v>
          </cell>
          <cell r="C23">
            <v>1040000</v>
          </cell>
          <cell r="D23">
            <v>1170000</v>
          </cell>
          <cell r="E23">
            <v>1391000</v>
          </cell>
          <cell r="F23">
            <v>1300000</v>
          </cell>
          <cell r="G23">
            <v>1430000</v>
          </cell>
          <cell r="H23">
            <v>1560000</v>
          </cell>
          <cell r="I23">
            <v>41935.483870967742</v>
          </cell>
          <cell r="J23">
            <v>996746</v>
          </cell>
          <cell r="K23">
            <v>931538.3177570093</v>
          </cell>
          <cell r="L23">
            <v>1937</v>
          </cell>
          <cell r="M23">
            <v>514.58234383066599</v>
          </cell>
          <cell r="N23">
            <v>38336.384615384617</v>
          </cell>
          <cell r="O23">
            <v>0.71656793673616104</v>
          </cell>
          <cell r="P23">
            <v>108461.6822429907</v>
          </cell>
          <cell r="Q23">
            <v>108461.6822429907</v>
          </cell>
          <cell r="R23">
            <v>238461.6822429907</v>
          </cell>
          <cell r="S23">
            <v>238461.6822429907</v>
          </cell>
          <cell r="T23">
            <v>368461.6822429907</v>
          </cell>
          <cell r="U23">
            <v>-0.28343206326383902</v>
          </cell>
          <cell r="V23">
            <v>73692.336448598144</v>
          </cell>
          <cell r="W23">
            <v>498461.6822429907</v>
          </cell>
          <cell r="X23">
            <v>99692.336448598144</v>
          </cell>
          <cell r="Y23">
            <v>628461.6822429907</v>
          </cell>
          <cell r="Z23">
            <v>125692.33644859814</v>
          </cell>
          <cell r="AA23">
            <v>1.6746666844303856E-2</v>
          </cell>
        </row>
        <row r="24">
          <cell r="B24" t="str">
            <v>Yuedpao สาขา Central อุบลราชธานี</v>
          </cell>
          <cell r="C24">
            <v>1040000</v>
          </cell>
          <cell r="D24">
            <v>1170000</v>
          </cell>
          <cell r="E24">
            <v>1391000</v>
          </cell>
          <cell r="F24">
            <v>1300000</v>
          </cell>
          <cell r="G24">
            <v>1430000</v>
          </cell>
          <cell r="H24">
            <v>1560000</v>
          </cell>
          <cell r="I24">
            <v>41935.483870967742</v>
          </cell>
          <cell r="J24">
            <v>1326788.7</v>
          </cell>
          <cell r="K24">
            <v>1239989.4392523365</v>
          </cell>
          <cell r="L24">
            <v>2744</v>
          </cell>
          <cell r="M24">
            <v>483.52357871720113</v>
          </cell>
          <cell r="N24">
            <v>51030.334615384614</v>
          </cell>
          <cell r="O24">
            <v>0.95383803019410496</v>
          </cell>
          <cell r="P24">
            <v>-199989.43925233651</v>
          </cell>
          <cell r="Q24">
            <v>-199989.43925233651</v>
          </cell>
          <cell r="R24">
            <v>-69989.43925233651</v>
          </cell>
          <cell r="S24">
            <v>-69989.43925233651</v>
          </cell>
          <cell r="T24">
            <v>60010.56074766349</v>
          </cell>
          <cell r="U24">
            <v>-4.6161969805894994E-2</v>
          </cell>
          <cell r="V24">
            <v>12002.112149532699</v>
          </cell>
          <cell r="W24">
            <v>190010.56074766349</v>
          </cell>
          <cell r="X24">
            <v>38002.112149532695</v>
          </cell>
          <cell r="Y24">
            <v>320010.56074766349</v>
          </cell>
          <cell r="Z24">
            <v>64002.112149532695</v>
          </cell>
          <cell r="AA24">
            <v>2.229182593327389E-2</v>
          </cell>
        </row>
        <row r="25">
          <cell r="B25" t="str">
            <v>Yuedpao สาขา Central Festival เชียงใหม่</v>
          </cell>
          <cell r="C25">
            <v>720000</v>
          </cell>
          <cell r="D25">
            <v>810000</v>
          </cell>
          <cell r="E25">
            <v>963000</v>
          </cell>
          <cell r="F25">
            <v>900000</v>
          </cell>
          <cell r="G25">
            <v>990000.00000000012</v>
          </cell>
          <cell r="H25">
            <v>1080000</v>
          </cell>
          <cell r="I25">
            <v>29032.258064516129</v>
          </cell>
          <cell r="J25">
            <v>780772</v>
          </cell>
          <cell r="K25">
            <v>729693.45794392528</v>
          </cell>
          <cell r="L25">
            <v>1798</v>
          </cell>
          <cell r="M25">
            <v>434.24471635150167</v>
          </cell>
          <cell r="N25">
            <v>30029.692307692309</v>
          </cell>
          <cell r="O25">
            <v>0.81077050882658364</v>
          </cell>
          <cell r="P25">
            <v>-9693.4579439252848</v>
          </cell>
          <cell r="Q25">
            <v>-9693.4579439252848</v>
          </cell>
          <cell r="R25">
            <v>80306.542056074715</v>
          </cell>
          <cell r="S25">
            <v>80306.542056074715</v>
          </cell>
          <cell r="T25">
            <v>170306.54205607472</v>
          </cell>
          <cell r="U25">
            <v>-0.18922949117341634</v>
          </cell>
          <cell r="V25">
            <v>34061.308411214944</v>
          </cell>
          <cell r="W25">
            <v>260306.54205607483</v>
          </cell>
          <cell r="X25">
            <v>52061.308411214966</v>
          </cell>
          <cell r="Y25">
            <v>350306.54205607472</v>
          </cell>
          <cell r="Z25">
            <v>70061.308411214937</v>
          </cell>
          <cell r="AA25">
            <v>1.3118014584819815E-2</v>
          </cell>
        </row>
        <row r="26">
          <cell r="B26" t="str">
            <v>Yuedpao สาขา Central พิษณุโลก</v>
          </cell>
          <cell r="C26">
            <v>1000000</v>
          </cell>
          <cell r="D26">
            <v>1125000</v>
          </cell>
          <cell r="E26">
            <v>1337500</v>
          </cell>
          <cell r="F26">
            <v>1250000</v>
          </cell>
          <cell r="G26">
            <v>1375000</v>
          </cell>
          <cell r="H26">
            <v>1500000</v>
          </cell>
          <cell r="I26">
            <v>40322.580645161288</v>
          </cell>
          <cell r="J26">
            <v>1109211</v>
          </cell>
          <cell r="K26">
            <v>1036645.7943925234</v>
          </cell>
          <cell r="L26">
            <v>2433</v>
          </cell>
          <cell r="M26">
            <v>455.90258939580764</v>
          </cell>
          <cell r="N26">
            <v>42661.961538461539</v>
          </cell>
          <cell r="O26">
            <v>0.82931663551401869</v>
          </cell>
          <cell r="P26">
            <v>-36645.794392523356</v>
          </cell>
          <cell r="Q26">
            <v>-36645.794392523356</v>
          </cell>
          <cell r="R26">
            <v>88354.205607476644</v>
          </cell>
          <cell r="S26">
            <v>88354.205607476644</v>
          </cell>
          <cell r="T26">
            <v>213354.20560747664</v>
          </cell>
          <cell r="U26">
            <v>-0.17068336448598131</v>
          </cell>
          <cell r="V26">
            <v>42670.84112149533</v>
          </cell>
          <cell r="W26">
            <v>338354.20560747664</v>
          </cell>
          <cell r="X26">
            <v>67670.841121495323</v>
          </cell>
          <cell r="Y26">
            <v>463354.20560747664</v>
          </cell>
          <cell r="Z26">
            <v>92670.841121495323</v>
          </cell>
          <cell r="AA26">
            <v>1.863622936739864E-2</v>
          </cell>
        </row>
        <row r="27">
          <cell r="B27" t="str">
            <v>Yuedpao สาขา The Mall โคราช</v>
          </cell>
          <cell r="C27">
            <v>560000</v>
          </cell>
          <cell r="D27">
            <v>630000</v>
          </cell>
          <cell r="E27">
            <v>749000</v>
          </cell>
          <cell r="F27">
            <v>700000</v>
          </cell>
          <cell r="G27">
            <v>770000.00000000012</v>
          </cell>
          <cell r="H27">
            <v>840000</v>
          </cell>
          <cell r="I27">
            <v>22580.645161290322</v>
          </cell>
          <cell r="J27">
            <v>602856</v>
          </cell>
          <cell r="K27">
            <v>563416.82242990658</v>
          </cell>
          <cell r="L27">
            <v>1346</v>
          </cell>
          <cell r="M27">
            <v>447.88707280832097</v>
          </cell>
          <cell r="N27">
            <v>23186.76923076923</v>
          </cell>
          <cell r="O27">
            <v>0.80488117489986655</v>
          </cell>
          <cell r="P27">
            <v>-3416.8224299065769</v>
          </cell>
          <cell r="Q27">
            <v>-3416.8224299065769</v>
          </cell>
          <cell r="R27">
            <v>66583.177570093423</v>
          </cell>
          <cell r="S27">
            <v>66583.177570093423</v>
          </cell>
          <cell r="T27">
            <v>136583.17757009342</v>
          </cell>
          <cell r="U27">
            <v>-0.19511882510013345</v>
          </cell>
          <cell r="V27">
            <v>27316.635514018686</v>
          </cell>
          <cell r="W27">
            <v>206583.17757009354</v>
          </cell>
          <cell r="X27">
            <v>41316.635514018708</v>
          </cell>
          <cell r="Y27">
            <v>276583.17757009342</v>
          </cell>
          <cell r="Z27">
            <v>55316.635514018686</v>
          </cell>
          <cell r="AA27">
            <v>1.0128787662142256E-2</v>
          </cell>
        </row>
        <row r="28">
          <cell r="B28" t="str">
            <v>Yuedpao สาขา Central เชียงใหม่แอร์พอร์ต</v>
          </cell>
          <cell r="C28">
            <v>480000</v>
          </cell>
          <cell r="D28">
            <v>540000</v>
          </cell>
          <cell r="E28">
            <v>642000</v>
          </cell>
          <cell r="F28">
            <v>600000</v>
          </cell>
          <cell r="G28">
            <v>660000</v>
          </cell>
          <cell r="H28">
            <v>720000</v>
          </cell>
          <cell r="I28">
            <v>19354.83870967742</v>
          </cell>
          <cell r="J28">
            <v>757901</v>
          </cell>
          <cell r="K28">
            <v>708318.69158878503</v>
          </cell>
          <cell r="L28">
            <v>1835</v>
          </cell>
          <cell r="M28">
            <v>413.02506811989099</v>
          </cell>
          <cell r="N28">
            <v>29150.038461538461</v>
          </cell>
          <cell r="O28">
            <v>1.1805311526479751</v>
          </cell>
          <cell r="P28">
            <v>-228318.69158878503</v>
          </cell>
          <cell r="Q28">
            <v>-228318.69158878503</v>
          </cell>
          <cell r="R28">
            <v>-168318.69158878503</v>
          </cell>
          <cell r="S28">
            <v>-168318.69158878503</v>
          </cell>
          <cell r="T28">
            <v>-108318.69158878503</v>
          </cell>
          <cell r="U28">
            <v>0.18053115264797506</v>
          </cell>
          <cell r="V28">
            <v>-21663.738317757008</v>
          </cell>
          <cell r="W28">
            <v>-48318.691588785034</v>
          </cell>
          <cell r="X28">
            <v>-9663.7383177570064</v>
          </cell>
          <cell r="Y28">
            <v>11681.308411214966</v>
          </cell>
          <cell r="Z28">
            <v>2336.2616822429932</v>
          </cell>
          <cell r="AA28">
            <v>1.2733751174285863E-2</v>
          </cell>
        </row>
        <row r="29">
          <cell r="B29" t="str">
            <v>Yuedpao สาขา Central อุดรธานี</v>
          </cell>
          <cell r="C29">
            <v>680000</v>
          </cell>
          <cell r="D29">
            <v>765000</v>
          </cell>
          <cell r="E29">
            <v>909500</v>
          </cell>
          <cell r="F29">
            <v>850000</v>
          </cell>
          <cell r="G29">
            <v>935000.00000000012</v>
          </cell>
          <cell r="H29">
            <v>1020000</v>
          </cell>
          <cell r="I29">
            <v>27419.354838709678</v>
          </cell>
          <cell r="J29">
            <v>634845</v>
          </cell>
          <cell r="K29">
            <v>593313.08411214955</v>
          </cell>
          <cell r="L29">
            <v>1388</v>
          </cell>
          <cell r="M29">
            <v>457.38112391930838</v>
          </cell>
          <cell r="N29">
            <v>24417.115384615383</v>
          </cell>
          <cell r="O29">
            <v>0.69801539307311711</v>
          </cell>
          <cell r="P29">
            <v>86686.915887850453</v>
          </cell>
          <cell r="Q29">
            <v>86686.915887850453</v>
          </cell>
          <cell r="R29">
            <v>171686.91588785045</v>
          </cell>
          <cell r="S29">
            <v>171686.91588785045</v>
          </cell>
          <cell r="T29">
            <v>256686.91588785045</v>
          </cell>
          <cell r="U29">
            <v>-0.30198460692688289</v>
          </cell>
          <cell r="V29">
            <v>51337.383177570089</v>
          </cell>
          <cell r="W29">
            <v>341686.91588785057</v>
          </cell>
          <cell r="X29">
            <v>68337.383177570111</v>
          </cell>
          <cell r="Y29">
            <v>426686.91588785045</v>
          </cell>
          <cell r="Z29">
            <v>85337.383177570096</v>
          </cell>
          <cell r="AA29">
            <v>1.0666245676202444E-2</v>
          </cell>
        </row>
        <row r="30">
          <cell r="B30" t="str">
            <v>Yuedpao สาขา Mega บางนา</v>
          </cell>
          <cell r="C30">
            <v>680000</v>
          </cell>
          <cell r="D30">
            <v>765000</v>
          </cell>
          <cell r="E30">
            <v>909500</v>
          </cell>
          <cell r="F30">
            <v>850000</v>
          </cell>
          <cell r="G30">
            <v>935000.00000000012</v>
          </cell>
          <cell r="H30">
            <v>1020000</v>
          </cell>
          <cell r="I30">
            <v>27419.354838709678</v>
          </cell>
          <cell r="J30">
            <v>846169</v>
          </cell>
          <cell r="K30">
            <v>790812.14953271032</v>
          </cell>
          <cell r="L30">
            <v>1560</v>
          </cell>
          <cell r="M30">
            <v>542.41602564102561</v>
          </cell>
          <cell r="N30">
            <v>32544.961538461539</v>
          </cell>
          <cell r="O30">
            <v>0.93036723474436511</v>
          </cell>
          <cell r="P30">
            <v>-110812.14953271032</v>
          </cell>
          <cell r="Q30">
            <v>-110812.14953271032</v>
          </cell>
          <cell r="R30">
            <v>-25812.149532710318</v>
          </cell>
          <cell r="S30">
            <v>-25812.149532710318</v>
          </cell>
          <cell r="T30">
            <v>59187.850467289682</v>
          </cell>
          <cell r="U30">
            <v>0</v>
          </cell>
          <cell r="V30">
            <v>11837.570093457936</v>
          </cell>
          <cell r="W30">
            <v>144187.8504672898</v>
          </cell>
          <cell r="X30">
            <v>28837.570093457958</v>
          </cell>
          <cell r="Y30">
            <v>229187.85046728968</v>
          </cell>
          <cell r="Z30">
            <v>45837.570093457936</v>
          </cell>
          <cell r="AA30">
            <v>1.4216771712129019E-2</v>
          </cell>
        </row>
        <row r="31">
          <cell r="B31" t="str">
            <v>Yuedpao สาขา Central อยุธยา</v>
          </cell>
          <cell r="C31">
            <v>960000</v>
          </cell>
          <cell r="D31">
            <v>1080000</v>
          </cell>
          <cell r="E31">
            <v>1284000</v>
          </cell>
          <cell r="F31">
            <v>1200000</v>
          </cell>
          <cell r="G31">
            <v>1320000</v>
          </cell>
          <cell r="H31">
            <v>1440000</v>
          </cell>
          <cell r="I31">
            <v>38709.677419354841</v>
          </cell>
          <cell r="J31">
            <v>873276.5</v>
          </cell>
          <cell r="K31">
            <v>816146.26168224297</v>
          </cell>
          <cell r="L31">
            <v>1831</v>
          </cell>
          <cell r="M31">
            <v>476.93965046422721</v>
          </cell>
          <cell r="N31">
            <v>33587.557692307695</v>
          </cell>
          <cell r="O31">
            <v>0.68012188473520252</v>
          </cell>
          <cell r="P31">
            <v>143853.73831775703</v>
          </cell>
          <cell r="Q31">
            <v>143853.73831775703</v>
          </cell>
          <cell r="R31">
            <v>263853.73831775703</v>
          </cell>
          <cell r="S31">
            <v>263853.73831775703</v>
          </cell>
          <cell r="T31">
            <v>383853.73831775703</v>
          </cell>
          <cell r="U31">
            <v>-0.31987811526479754</v>
          </cell>
          <cell r="V31">
            <v>76770.747663551403</v>
          </cell>
          <cell r="W31">
            <v>503853.73831775703</v>
          </cell>
          <cell r="X31">
            <v>100770.7476635514</v>
          </cell>
          <cell r="Y31">
            <v>623853.73831775703</v>
          </cell>
          <cell r="Z31">
            <v>124770.7476635514</v>
          </cell>
          <cell r="AA31">
            <v>1.4672213992792262E-2</v>
          </cell>
        </row>
        <row r="32">
          <cell r="B32" t="str">
            <v>Yuedpao สาขา Central ลำปาง</v>
          </cell>
          <cell r="C32">
            <v>680000</v>
          </cell>
          <cell r="D32">
            <v>765000</v>
          </cell>
          <cell r="E32">
            <v>909500</v>
          </cell>
          <cell r="F32">
            <v>850000</v>
          </cell>
          <cell r="G32">
            <v>935000.00000000012</v>
          </cell>
          <cell r="H32">
            <v>1020000</v>
          </cell>
          <cell r="I32">
            <v>27419.354838709678</v>
          </cell>
          <cell r="J32">
            <v>733364</v>
          </cell>
          <cell r="K32">
            <v>685386.91588785045</v>
          </cell>
          <cell r="L32">
            <v>1612</v>
          </cell>
          <cell r="M32">
            <v>454.94044665012404</v>
          </cell>
          <cell r="N32">
            <v>28206.307692307691</v>
          </cell>
          <cell r="O32">
            <v>0.80633754810335345</v>
          </cell>
          <cell r="P32">
            <v>-5386.9158878504531</v>
          </cell>
          <cell r="Q32">
            <v>-5386.9158878504531</v>
          </cell>
          <cell r="R32">
            <v>79613.084112149547</v>
          </cell>
          <cell r="S32">
            <v>79613.084112149547</v>
          </cell>
          <cell r="T32">
            <v>164613.08411214955</v>
          </cell>
          <cell r="U32">
            <v>-0.19366245189664652</v>
          </cell>
          <cell r="V32">
            <v>32922.616822429911</v>
          </cell>
          <cell r="W32">
            <v>249613.08411214966</v>
          </cell>
          <cell r="X32">
            <v>49922.616822429933</v>
          </cell>
          <cell r="Y32">
            <v>334613.08411214955</v>
          </cell>
          <cell r="Z32">
            <v>66922.616822429904</v>
          </cell>
          <cell r="AA32">
            <v>1.2321496733978419E-2</v>
          </cell>
        </row>
        <row r="33">
          <cell r="B33" t="str">
            <v>Yuedpao สาขา Passione Shopping Destination ระยอง</v>
          </cell>
          <cell r="C33">
            <v>520000</v>
          </cell>
          <cell r="D33">
            <v>585000</v>
          </cell>
          <cell r="E33">
            <v>695500</v>
          </cell>
          <cell r="F33">
            <v>650000</v>
          </cell>
          <cell r="G33">
            <v>715000</v>
          </cell>
          <cell r="H33">
            <v>780000</v>
          </cell>
          <cell r="I33">
            <v>20967.741935483871</v>
          </cell>
          <cell r="J33">
            <v>585996.5</v>
          </cell>
          <cell r="K33">
            <v>547660.28037383175</v>
          </cell>
          <cell r="L33">
            <v>1091</v>
          </cell>
          <cell r="M33">
            <v>537.11869844179648</v>
          </cell>
          <cell r="N33">
            <v>22538.326923076922</v>
          </cell>
          <cell r="O33">
            <v>0.84255427749820266</v>
          </cell>
          <cell r="P33">
            <v>-27660.280373831745</v>
          </cell>
          <cell r="Q33">
            <v>-27660.280373831745</v>
          </cell>
          <cell r="R33">
            <v>37339.719626168255</v>
          </cell>
          <cell r="S33">
            <v>37339.719626168255</v>
          </cell>
          <cell r="T33">
            <v>102339.71962616825</v>
          </cell>
          <cell r="U33">
            <v>-0.15744572250179731</v>
          </cell>
          <cell r="V33">
            <v>20467.943925233652</v>
          </cell>
          <cell r="W33">
            <v>167339.71962616825</v>
          </cell>
          <cell r="X33">
            <v>33467.943925233652</v>
          </cell>
          <cell r="Y33">
            <v>232339.71962616825</v>
          </cell>
          <cell r="Z33">
            <v>46467.943925233652</v>
          </cell>
          <cell r="AA33">
            <v>9.8455254973966334E-3</v>
          </cell>
        </row>
        <row r="34">
          <cell r="B34" t="str">
            <v>Yuedpao สาขา Central พระราม 9</v>
          </cell>
          <cell r="C34">
            <v>640000</v>
          </cell>
          <cell r="D34">
            <v>720000</v>
          </cell>
          <cell r="E34">
            <v>856000</v>
          </cell>
          <cell r="F34">
            <v>800000</v>
          </cell>
          <cell r="G34">
            <v>880000.00000000012</v>
          </cell>
          <cell r="H34">
            <v>960000</v>
          </cell>
          <cell r="I34">
            <v>25806.451612903227</v>
          </cell>
          <cell r="J34">
            <v>725578</v>
          </cell>
          <cell r="K34">
            <v>678110.28037383175</v>
          </cell>
          <cell r="L34">
            <v>2015</v>
          </cell>
          <cell r="M34">
            <v>360.08833746898262</v>
          </cell>
          <cell r="N34">
            <v>27906.846153846152</v>
          </cell>
          <cell r="O34">
            <v>0.84763785046728968</v>
          </cell>
          <cell r="P34">
            <v>-38110.280373831745</v>
          </cell>
          <cell r="Q34">
            <v>-38110.280373831745</v>
          </cell>
          <cell r="R34">
            <v>41889.719626168255</v>
          </cell>
          <cell r="S34">
            <v>41889.719626168255</v>
          </cell>
          <cell r="T34">
            <v>121889.71962616825</v>
          </cell>
          <cell r="U34">
            <v>-0.15236214953271032</v>
          </cell>
          <cell r="V34">
            <v>24377.943925233652</v>
          </cell>
          <cell r="W34">
            <v>201889.71962616837</v>
          </cell>
          <cell r="X34">
            <v>40377.943925233674</v>
          </cell>
          <cell r="Y34">
            <v>281889.71962616825</v>
          </cell>
          <cell r="Z34">
            <v>56377.943925233652</v>
          </cell>
          <cell r="AA34">
            <v>1.2190681513200257E-2</v>
          </cell>
        </row>
        <row r="35">
          <cell r="B35" t="str">
            <v>Yuedpao สาขา The Mall ท่าพระ</v>
          </cell>
          <cell r="C35">
            <v>520000</v>
          </cell>
          <cell r="D35">
            <v>585000</v>
          </cell>
          <cell r="E35">
            <v>695500</v>
          </cell>
          <cell r="F35">
            <v>650000</v>
          </cell>
          <cell r="G35">
            <v>715000</v>
          </cell>
          <cell r="H35">
            <v>780000</v>
          </cell>
          <cell r="I35">
            <v>20967.741935483871</v>
          </cell>
          <cell r="J35">
            <v>543810</v>
          </cell>
          <cell r="K35">
            <v>508233.6448598131</v>
          </cell>
          <cell r="L35">
            <v>1285</v>
          </cell>
          <cell r="M35">
            <v>423.19844357976655</v>
          </cell>
          <cell r="N35">
            <v>20915.76923076923</v>
          </cell>
          <cell r="O35">
            <v>0.78189791516894325</v>
          </cell>
          <cell r="P35">
            <v>11766.355140186904</v>
          </cell>
          <cell r="Q35">
            <v>11766.355140186904</v>
          </cell>
          <cell r="R35">
            <v>76766.355140186904</v>
          </cell>
          <cell r="S35">
            <v>76766.355140186904</v>
          </cell>
          <cell r="T35">
            <v>141766.3551401869</v>
          </cell>
          <cell r="U35">
            <v>-0.21810208483105678</v>
          </cell>
          <cell r="V35">
            <v>28353.271028037379</v>
          </cell>
          <cell r="W35">
            <v>206766.3551401869</v>
          </cell>
          <cell r="X35">
            <v>41353.271028037379</v>
          </cell>
          <cell r="Y35">
            <v>271766.3551401869</v>
          </cell>
          <cell r="Z35">
            <v>54353.271028037379</v>
          </cell>
          <cell r="AA35">
            <v>9.1367358350079968E-3</v>
          </cell>
        </row>
        <row r="36">
          <cell r="B36" t="str">
            <v>Yuedpao สาขา Central ภูเก็ต</v>
          </cell>
          <cell r="C36">
            <v>800000</v>
          </cell>
          <cell r="D36">
            <v>900000</v>
          </cell>
          <cell r="E36">
            <v>1070000</v>
          </cell>
          <cell r="F36">
            <v>1000000</v>
          </cell>
          <cell r="G36">
            <v>1100000</v>
          </cell>
          <cell r="H36">
            <v>1200000</v>
          </cell>
          <cell r="I36">
            <v>32258.064516129034</v>
          </cell>
          <cell r="J36">
            <v>963759</v>
          </cell>
          <cell r="K36">
            <v>900709.34579439252</v>
          </cell>
          <cell r="L36">
            <v>2181</v>
          </cell>
          <cell r="M36">
            <v>441.88858321870703</v>
          </cell>
          <cell r="N36">
            <v>37067.653846153844</v>
          </cell>
          <cell r="O36">
            <v>0.90070934579439255</v>
          </cell>
          <cell r="P36">
            <v>-100709.34579439252</v>
          </cell>
          <cell r="Q36">
            <v>-100709.34579439252</v>
          </cell>
          <cell r="R36">
            <v>-709.34579439251684</v>
          </cell>
          <cell r="S36">
            <v>-709.34579439251684</v>
          </cell>
          <cell r="T36">
            <v>99290.654205607483</v>
          </cell>
          <cell r="U36">
            <v>-9.9290654205607481E-2</v>
          </cell>
          <cell r="V36">
            <v>19858.130841121496</v>
          </cell>
          <cell r="W36">
            <v>199290.65420560748</v>
          </cell>
          <cell r="X36">
            <v>39858.1308411215</v>
          </cell>
          <cell r="Y36">
            <v>299290.65420560748</v>
          </cell>
          <cell r="Z36">
            <v>59858.1308411215</v>
          </cell>
          <cell r="AA36">
            <v>1.6192441094521011E-2</v>
          </cell>
        </row>
        <row r="37">
          <cell r="B37" t="str">
            <v>Yuedpao สาขา Robinson ฉะเชิงเทรา</v>
          </cell>
          <cell r="C37">
            <v>760000</v>
          </cell>
          <cell r="D37">
            <v>855000</v>
          </cell>
          <cell r="E37">
            <v>1016500</v>
          </cell>
          <cell r="F37">
            <v>950000</v>
          </cell>
          <cell r="G37">
            <v>1045000.0000000001</v>
          </cell>
          <cell r="H37">
            <v>1140000</v>
          </cell>
          <cell r="I37">
            <v>30645.16129032258</v>
          </cell>
          <cell r="J37">
            <v>774079</v>
          </cell>
          <cell r="K37">
            <v>723438.3177570093</v>
          </cell>
          <cell r="L37">
            <v>1703</v>
          </cell>
          <cell r="M37">
            <v>454.53846153846155</v>
          </cell>
          <cell r="N37">
            <v>29772.26923076923</v>
          </cell>
          <cell r="O37">
            <v>0.76151401869158875</v>
          </cell>
          <cell r="P37">
            <v>36561.682242990704</v>
          </cell>
          <cell r="Q37">
            <v>36561.682242990704</v>
          </cell>
          <cell r="R37">
            <v>131561.6822429907</v>
          </cell>
          <cell r="S37">
            <v>131561.6822429907</v>
          </cell>
          <cell r="T37">
            <v>226561.6822429907</v>
          </cell>
          <cell r="U37">
            <v>-0.23848598130841125</v>
          </cell>
          <cell r="V37">
            <v>45312.336448598144</v>
          </cell>
          <cell r="W37">
            <v>321561.68224299082</v>
          </cell>
          <cell r="X37">
            <v>64312.336448598166</v>
          </cell>
          <cell r="Y37">
            <v>416561.6822429907</v>
          </cell>
          <cell r="Z37">
            <v>83312.336448598144</v>
          </cell>
          <cell r="AA37">
            <v>1.3005563226912256E-2</v>
          </cell>
        </row>
        <row r="38">
          <cell r="B38" t="str">
            <v>Yuedpao สาขา Central มหาชัย</v>
          </cell>
          <cell r="C38">
            <v>640000</v>
          </cell>
          <cell r="D38">
            <v>720000</v>
          </cell>
          <cell r="E38">
            <v>856000</v>
          </cell>
          <cell r="F38">
            <v>800000</v>
          </cell>
          <cell r="G38">
            <v>880000.00000000012</v>
          </cell>
          <cell r="H38">
            <v>960000</v>
          </cell>
          <cell r="I38">
            <v>25806.451612903227</v>
          </cell>
          <cell r="J38">
            <v>668691</v>
          </cell>
          <cell r="K38">
            <v>624944.85981308413</v>
          </cell>
          <cell r="L38">
            <v>1436</v>
          </cell>
          <cell r="M38">
            <v>465.66225626740948</v>
          </cell>
          <cell r="N38">
            <v>25718.884615384617</v>
          </cell>
          <cell r="O38">
            <v>0.78118107476635512</v>
          </cell>
          <cell r="P38">
            <v>15055.140186915873</v>
          </cell>
          <cell r="Q38">
            <v>15055.140186915873</v>
          </cell>
          <cell r="R38">
            <v>95055.140186915873</v>
          </cell>
          <cell r="S38">
            <v>95055.140186915873</v>
          </cell>
          <cell r="T38">
            <v>175055.14018691587</v>
          </cell>
          <cell r="U38">
            <v>-0.21881892523364485</v>
          </cell>
          <cell r="V38">
            <v>35011.028037383177</v>
          </cell>
          <cell r="W38">
            <v>255055.14018691599</v>
          </cell>
          <cell r="X38">
            <v>51011.028037383199</v>
          </cell>
          <cell r="Y38">
            <v>335055.14018691587</v>
          </cell>
          <cell r="Z38">
            <v>67011.028037383177</v>
          </cell>
          <cell r="AA38">
            <v>1.1234903775670421E-2</v>
          </cell>
        </row>
        <row r="39">
          <cell r="B39" t="str">
            <v>Yuedpao สาขา Central ชลบุรี</v>
          </cell>
          <cell r="C39">
            <v>640000</v>
          </cell>
          <cell r="D39">
            <v>720000</v>
          </cell>
          <cell r="E39">
            <v>856000</v>
          </cell>
          <cell r="F39">
            <v>800000</v>
          </cell>
          <cell r="G39">
            <v>880000.00000000012</v>
          </cell>
          <cell r="H39">
            <v>960000</v>
          </cell>
          <cell r="I39">
            <v>25806.451612903227</v>
          </cell>
          <cell r="J39">
            <v>677531.5</v>
          </cell>
          <cell r="K39">
            <v>633207.00934579445</v>
          </cell>
          <cell r="L39">
            <v>1601</v>
          </cell>
          <cell r="M39">
            <v>423.19269206745781</v>
          </cell>
          <cell r="N39">
            <v>26058.903846153848</v>
          </cell>
          <cell r="O39">
            <v>0.79150876168224304</v>
          </cell>
          <cell r="P39">
            <v>6792.9906542055542</v>
          </cell>
          <cell r="Q39">
            <v>6792.9906542055542</v>
          </cell>
          <cell r="R39">
            <v>86792.990654205554</v>
          </cell>
          <cell r="S39">
            <v>86792.990654205554</v>
          </cell>
          <cell r="T39">
            <v>166792.99065420555</v>
          </cell>
          <cell r="U39">
            <v>-0.20849123831775696</v>
          </cell>
          <cell r="V39">
            <v>33358.598130841114</v>
          </cell>
          <cell r="W39">
            <v>246792.99065420567</v>
          </cell>
          <cell r="X39">
            <v>49358.598130841136</v>
          </cell>
          <cell r="Y39">
            <v>326792.99065420555</v>
          </cell>
          <cell r="Z39">
            <v>65358.598130841114</v>
          </cell>
          <cell r="AA39">
            <v>1.138343600779081E-2</v>
          </cell>
        </row>
        <row r="40">
          <cell r="B40" t="str">
            <v>Yuedpao สาขา Central พระราม 3</v>
          </cell>
          <cell r="C40">
            <v>480000</v>
          </cell>
          <cell r="D40">
            <v>540000</v>
          </cell>
          <cell r="E40">
            <v>642000</v>
          </cell>
          <cell r="F40">
            <v>600000</v>
          </cell>
          <cell r="G40">
            <v>660000</v>
          </cell>
          <cell r="H40">
            <v>720000</v>
          </cell>
          <cell r="I40">
            <v>19354.83870967742</v>
          </cell>
          <cell r="J40">
            <v>490058</v>
          </cell>
          <cell r="K40">
            <v>457998.13084112148</v>
          </cell>
          <cell r="L40">
            <v>1218</v>
          </cell>
          <cell r="M40">
            <v>402.34646962233171</v>
          </cell>
          <cell r="N40">
            <v>18848.384615384617</v>
          </cell>
          <cell r="O40">
            <v>0.76333021806853585</v>
          </cell>
          <cell r="P40">
            <v>22001.869158878515</v>
          </cell>
          <cell r="Q40">
            <v>22001.869158878515</v>
          </cell>
          <cell r="R40">
            <v>82001.869158878515</v>
          </cell>
          <cell r="S40">
            <v>82001.869158878515</v>
          </cell>
          <cell r="T40">
            <v>142001.86915887852</v>
          </cell>
          <cell r="U40">
            <v>-0.23666978193146418</v>
          </cell>
          <cell r="V40">
            <v>28400.373831775702</v>
          </cell>
          <cell r="W40">
            <v>202001.86915887852</v>
          </cell>
          <cell r="X40">
            <v>40400.373831775702</v>
          </cell>
          <cell r="Y40">
            <v>262001.86915887852</v>
          </cell>
          <cell r="Z40">
            <v>52400.373831775702</v>
          </cell>
          <cell r="AA40">
            <v>8.2336302933604544E-3</v>
          </cell>
        </row>
        <row r="41">
          <cell r="B41" t="str">
            <v>Yuedpao สาขา Central ศรีราชา</v>
          </cell>
          <cell r="C41">
            <v>640000</v>
          </cell>
          <cell r="D41">
            <v>720000</v>
          </cell>
          <cell r="E41">
            <v>856000</v>
          </cell>
          <cell r="F41">
            <v>800000</v>
          </cell>
          <cell r="G41">
            <v>880000.00000000012</v>
          </cell>
          <cell r="H41">
            <v>960000</v>
          </cell>
          <cell r="I41">
            <v>25806.451612903227</v>
          </cell>
          <cell r="J41">
            <v>661627.6</v>
          </cell>
          <cell r="K41">
            <v>618343.55140186916</v>
          </cell>
          <cell r="L41">
            <v>1270</v>
          </cell>
          <cell r="M41">
            <v>520.96661417322832</v>
          </cell>
          <cell r="N41">
            <v>25447.215384615385</v>
          </cell>
          <cell r="O41">
            <v>0.77292943925233648</v>
          </cell>
          <cell r="P41">
            <v>21656.448598130839</v>
          </cell>
          <cell r="Q41">
            <v>21656.448598130839</v>
          </cell>
          <cell r="R41">
            <v>101656.44859813084</v>
          </cell>
          <cell r="S41">
            <v>101656.44859813084</v>
          </cell>
          <cell r="T41">
            <v>181656.44859813084</v>
          </cell>
          <cell r="U41">
            <v>-0.22707056074766355</v>
          </cell>
          <cell r="V41">
            <v>36331.289719626169</v>
          </cell>
          <cell r="W41">
            <v>261656.44859813096</v>
          </cell>
          <cell r="X41">
            <v>52331.289719626191</v>
          </cell>
          <cell r="Y41">
            <v>341656.44859813084</v>
          </cell>
          <cell r="Z41">
            <v>68331.289719626162</v>
          </cell>
          <cell r="AA41">
            <v>1.1116229202019707E-2</v>
          </cell>
        </row>
        <row r="42">
          <cell r="B42" t="str">
            <v>Yuedpao สาขา Robinson บ้านฉาง</v>
          </cell>
          <cell r="C42">
            <v>440000</v>
          </cell>
          <cell r="D42">
            <v>495000</v>
          </cell>
          <cell r="E42">
            <v>588500</v>
          </cell>
          <cell r="F42">
            <v>550000</v>
          </cell>
          <cell r="G42">
            <v>605000</v>
          </cell>
          <cell r="H42">
            <v>660000</v>
          </cell>
          <cell r="I42">
            <v>17741.935483870966</v>
          </cell>
          <cell r="J42">
            <v>422193.67</v>
          </cell>
          <cell r="K42">
            <v>394573.523364486</v>
          </cell>
          <cell r="L42">
            <v>890</v>
          </cell>
          <cell r="M42">
            <v>474.37491011235954</v>
          </cell>
          <cell r="N42">
            <v>16238.218076923076</v>
          </cell>
          <cell r="O42">
            <v>0.71740640611724726</v>
          </cell>
          <cell r="P42">
            <v>45426.476635514002</v>
          </cell>
          <cell r="Q42">
            <v>45426.476635514002</v>
          </cell>
          <cell r="R42">
            <v>100426.476635514</v>
          </cell>
          <cell r="S42">
            <v>100426.476635514</v>
          </cell>
          <cell r="T42">
            <v>155426.476635514</v>
          </cell>
          <cell r="U42">
            <v>-0.28259359388275274</v>
          </cell>
          <cell r="V42">
            <v>31085.295327102802</v>
          </cell>
          <cell r="W42">
            <v>210426.476635514</v>
          </cell>
          <cell r="X42">
            <v>42085.295327102802</v>
          </cell>
          <cell r="Y42">
            <v>265426.476635514</v>
          </cell>
          <cell r="Z42">
            <v>53085.295327102802</v>
          </cell>
          <cell r="AA42">
            <v>7.0934187197781223E-3</v>
          </cell>
        </row>
        <row r="43">
          <cell r="B43" t="str">
            <v>Yuedpao สาขา Central เชียงราย</v>
          </cell>
          <cell r="C43">
            <v>760000</v>
          </cell>
          <cell r="D43">
            <v>855000</v>
          </cell>
          <cell r="E43">
            <v>1016500</v>
          </cell>
          <cell r="F43">
            <v>950000</v>
          </cell>
          <cell r="G43">
            <v>1045000.0000000001</v>
          </cell>
          <cell r="H43">
            <v>1140000</v>
          </cell>
          <cell r="I43">
            <v>30645.16129032258</v>
          </cell>
          <cell r="J43">
            <v>818068</v>
          </cell>
          <cell r="K43">
            <v>764549.53271028039</v>
          </cell>
          <cell r="L43">
            <v>1524</v>
          </cell>
          <cell r="M43">
            <v>536.79002624671921</v>
          </cell>
          <cell r="N43">
            <v>31464.153846153848</v>
          </cell>
          <cell r="O43">
            <v>0.80478898180029512</v>
          </cell>
          <cell r="P43">
            <v>-4549.5327102803858</v>
          </cell>
          <cell r="Q43">
            <v>-4549.5327102803858</v>
          </cell>
          <cell r="R43">
            <v>90450.467289719614</v>
          </cell>
          <cell r="S43">
            <v>90450.467289719614</v>
          </cell>
          <cell r="T43">
            <v>185450.46728971961</v>
          </cell>
          <cell r="U43">
            <v>-0.19521101819970485</v>
          </cell>
          <cell r="V43">
            <v>37090.09345794392</v>
          </cell>
          <cell r="W43">
            <v>280450.46728971973</v>
          </cell>
          <cell r="X43">
            <v>56090.093457943949</v>
          </cell>
          <cell r="Y43">
            <v>375450.46728971961</v>
          </cell>
          <cell r="Z43">
            <v>75090.09345794392</v>
          </cell>
          <cell r="AA43">
            <v>1.3744637301765913E-2</v>
          </cell>
        </row>
        <row r="44">
          <cell r="B44" t="str">
            <v>Yuedpao สาขา Central World</v>
          </cell>
          <cell r="C44">
            <v>480000</v>
          </cell>
          <cell r="D44">
            <v>540000</v>
          </cell>
          <cell r="E44">
            <v>642000</v>
          </cell>
          <cell r="F44">
            <v>600000</v>
          </cell>
          <cell r="G44">
            <v>660000</v>
          </cell>
          <cell r="H44">
            <v>720000</v>
          </cell>
          <cell r="I44">
            <v>19354.83870967742</v>
          </cell>
          <cell r="J44">
            <v>560511.5</v>
          </cell>
          <cell r="K44">
            <v>523842.523364486</v>
          </cell>
          <cell r="L44">
            <v>1099</v>
          </cell>
          <cell r="M44">
            <v>510.01956323930847</v>
          </cell>
          <cell r="N44">
            <v>21558.134615384617</v>
          </cell>
          <cell r="O44">
            <v>0.87307087227414337</v>
          </cell>
          <cell r="P44">
            <v>-43842.523364485998</v>
          </cell>
          <cell r="Q44">
            <v>-43842.523364485998</v>
          </cell>
          <cell r="R44">
            <v>16157.476635514002</v>
          </cell>
          <cell r="S44">
            <v>16157.476635514002</v>
          </cell>
          <cell r="T44">
            <v>76157.476635514002</v>
          </cell>
          <cell r="U44">
            <v>-0.12692912772585668</v>
          </cell>
          <cell r="V44">
            <v>15231.495327102801</v>
          </cell>
          <cell r="W44">
            <v>136157.476635514</v>
          </cell>
          <cell r="X44">
            <v>27231.495327102799</v>
          </cell>
          <cell r="Y44">
            <v>196157.476635514</v>
          </cell>
          <cell r="Z44">
            <v>39231.495327102799</v>
          </cell>
          <cell r="AA44">
            <v>9.4173433882865053E-3</v>
          </cell>
        </row>
        <row r="45">
          <cell r="B45" t="str">
            <v>Yuedpao สาขา Central สมุย</v>
          </cell>
          <cell r="C45">
            <v>680000</v>
          </cell>
          <cell r="D45">
            <v>765000</v>
          </cell>
          <cell r="E45">
            <v>909500</v>
          </cell>
          <cell r="F45">
            <v>850000</v>
          </cell>
          <cell r="G45">
            <v>935000.00000000012</v>
          </cell>
          <cell r="H45">
            <v>1020000</v>
          </cell>
          <cell r="I45">
            <v>27419.354838709678</v>
          </cell>
          <cell r="J45">
            <v>803991</v>
          </cell>
          <cell r="K45">
            <v>751393.45794392528</v>
          </cell>
          <cell r="L45">
            <v>1578</v>
          </cell>
          <cell r="M45">
            <v>509.5</v>
          </cell>
          <cell r="N45">
            <v>30922.73076923077</v>
          </cell>
          <cell r="O45">
            <v>0.88399230346344149</v>
          </cell>
          <cell r="P45">
            <v>-71393.457943925285</v>
          </cell>
          <cell r="Q45">
            <v>-71393.457943925285</v>
          </cell>
          <cell r="R45">
            <v>13606.542056074715</v>
          </cell>
          <cell r="S45">
            <v>13606.542056074715</v>
          </cell>
          <cell r="T45">
            <v>98606.542056074715</v>
          </cell>
          <cell r="U45">
            <v>-0.11600769653655849</v>
          </cell>
          <cell r="V45">
            <v>19721.308411214944</v>
          </cell>
          <cell r="W45">
            <v>183606.54205607483</v>
          </cell>
          <cell r="X45">
            <v>36721.308411214966</v>
          </cell>
          <cell r="Y45">
            <v>268606.54205607472</v>
          </cell>
          <cell r="Z45">
            <v>53721.308411214944</v>
          </cell>
          <cell r="AA45">
            <v>1.3508124861116777E-2</v>
          </cell>
        </row>
        <row r="46">
          <cell r="B46" t="str">
            <v>Yuedpao สาขา Central รามอินทรา</v>
          </cell>
          <cell r="C46">
            <v>400000</v>
          </cell>
          <cell r="D46">
            <v>450000</v>
          </cell>
          <cell r="E46">
            <v>535000</v>
          </cell>
          <cell r="F46">
            <v>500000</v>
          </cell>
          <cell r="G46">
            <v>550000</v>
          </cell>
          <cell r="H46">
            <v>600000</v>
          </cell>
          <cell r="I46">
            <v>16129.032258064517</v>
          </cell>
          <cell r="J46">
            <v>462757</v>
          </cell>
          <cell r="K46">
            <v>432483.17757009348</v>
          </cell>
          <cell r="L46">
            <v>1103</v>
          </cell>
          <cell r="M46">
            <v>419.54397098821397</v>
          </cell>
          <cell r="N46">
            <v>17798.346153846152</v>
          </cell>
          <cell r="O46">
            <v>0.86496635514018694</v>
          </cell>
          <cell r="P46">
            <v>-32483.177570093481</v>
          </cell>
          <cell r="Q46">
            <v>-32483.177570093481</v>
          </cell>
          <cell r="R46">
            <v>17516.822429906519</v>
          </cell>
          <cell r="S46">
            <v>17516.822429906519</v>
          </cell>
          <cell r="T46">
            <v>67516.822429906519</v>
          </cell>
          <cell r="U46">
            <v>-0.13503364485981303</v>
          </cell>
          <cell r="V46">
            <v>13503.364485981303</v>
          </cell>
          <cell r="W46">
            <v>117516.82242990652</v>
          </cell>
          <cell r="X46">
            <v>23503.364485981303</v>
          </cell>
          <cell r="Y46">
            <v>167516.82242990652</v>
          </cell>
          <cell r="Z46">
            <v>33503.364485981307</v>
          </cell>
          <cell r="AA46">
            <v>7.774936953716915E-3</v>
          </cell>
        </row>
        <row r="47">
          <cell r="B47" t="str">
            <v>Yuedpao สาขา Robinson ราชพฤกษ์</v>
          </cell>
          <cell r="C47">
            <v>360000</v>
          </cell>
          <cell r="D47">
            <v>405000</v>
          </cell>
          <cell r="E47">
            <v>481500</v>
          </cell>
          <cell r="F47">
            <v>450000</v>
          </cell>
          <cell r="G47">
            <v>495000.00000000006</v>
          </cell>
          <cell r="H47">
            <v>540000</v>
          </cell>
          <cell r="I47">
            <v>14516.129032258064</v>
          </cell>
          <cell r="J47">
            <v>387130</v>
          </cell>
          <cell r="K47">
            <v>361803.73831775703</v>
          </cell>
          <cell r="L47">
            <v>780</v>
          </cell>
          <cell r="M47">
            <v>496.32051282051282</v>
          </cell>
          <cell r="N47">
            <v>14889.615384615385</v>
          </cell>
          <cell r="O47">
            <v>0.80400830737279338</v>
          </cell>
          <cell r="P47">
            <v>-1803.73831775703</v>
          </cell>
          <cell r="Q47">
            <v>-1803.73831775703</v>
          </cell>
          <cell r="R47">
            <v>43196.26168224297</v>
          </cell>
          <cell r="S47">
            <v>43196.26168224297</v>
          </cell>
          <cell r="T47">
            <v>88196.26168224297</v>
          </cell>
          <cell r="U47">
            <v>-0.19599169262720659</v>
          </cell>
          <cell r="V47">
            <v>17639.252336448593</v>
          </cell>
          <cell r="W47">
            <v>133196.26168224303</v>
          </cell>
          <cell r="X47">
            <v>26639.252336448604</v>
          </cell>
          <cell r="Y47">
            <v>178196.26168224297</v>
          </cell>
          <cell r="Z47">
            <v>35639.252336448597</v>
          </cell>
          <cell r="AA47">
            <v>6.5043021345812793E-3</v>
          </cell>
        </row>
        <row r="48">
          <cell r="B48" t="str">
            <v>Yuedpao สาขา BTS หมอชิต</v>
          </cell>
          <cell r="C48">
            <v>160000</v>
          </cell>
          <cell r="D48">
            <v>180000</v>
          </cell>
          <cell r="E48">
            <v>214000</v>
          </cell>
          <cell r="F48">
            <v>200000</v>
          </cell>
          <cell r="G48">
            <v>220000.00000000003</v>
          </cell>
          <cell r="H48">
            <v>240000</v>
          </cell>
          <cell r="I48">
            <v>6451.6129032258068</v>
          </cell>
          <cell r="J48">
            <v>162622</v>
          </cell>
          <cell r="K48">
            <v>151983.17757009345</v>
          </cell>
          <cell r="L48">
            <v>505</v>
          </cell>
          <cell r="M48">
            <v>322.02376237623764</v>
          </cell>
          <cell r="N48">
            <v>6254.6923076923076</v>
          </cell>
          <cell r="O48">
            <v>0.75991588785046726</v>
          </cell>
          <cell r="P48">
            <v>8016.8224299065478</v>
          </cell>
          <cell r="Q48">
            <v>8016.8224299065478</v>
          </cell>
          <cell r="R48">
            <v>28016.822429906548</v>
          </cell>
          <cell r="S48">
            <v>28016.822429906548</v>
          </cell>
          <cell r="T48">
            <v>48016.822429906548</v>
          </cell>
          <cell r="U48">
            <v>-0.24008411214953274</v>
          </cell>
          <cell r="V48">
            <v>9603.3644859813103</v>
          </cell>
          <cell r="W48">
            <v>68016.822429906577</v>
          </cell>
          <cell r="X48">
            <v>13603.364485981316</v>
          </cell>
          <cell r="Y48">
            <v>88016.822429906548</v>
          </cell>
          <cell r="Z48">
            <v>17603.36448598131</v>
          </cell>
          <cell r="AA48">
            <v>2.7322672531962821E-3</v>
          </cell>
        </row>
        <row r="49">
          <cell r="B49" t="str">
            <v>Yuedpao สาขา BTS สยาม</v>
          </cell>
          <cell r="C49">
            <v>160000</v>
          </cell>
          <cell r="D49">
            <v>180000</v>
          </cell>
          <cell r="E49">
            <v>214000</v>
          </cell>
          <cell r="F49">
            <v>200000</v>
          </cell>
          <cell r="G49">
            <v>220000.00000000003</v>
          </cell>
          <cell r="H49">
            <v>240000</v>
          </cell>
          <cell r="I49">
            <v>6451.6129032258068</v>
          </cell>
          <cell r="J49">
            <v>171480</v>
          </cell>
          <cell r="K49">
            <v>160261.68224299065</v>
          </cell>
          <cell r="L49">
            <v>337</v>
          </cell>
          <cell r="M49">
            <v>0</v>
          </cell>
          <cell r="N49">
            <v>6595.3846153846152</v>
          </cell>
          <cell r="O49">
            <v>0.80130841121495322</v>
          </cell>
          <cell r="P49">
            <v>-261.68224299064605</v>
          </cell>
          <cell r="Q49">
            <v>-261.68224299064605</v>
          </cell>
          <cell r="R49">
            <v>19738.317757009354</v>
          </cell>
          <cell r="S49">
            <v>19738.317757009354</v>
          </cell>
          <cell r="T49">
            <v>39738.317757009354</v>
          </cell>
          <cell r="U49">
            <v>-0.19869158878504678</v>
          </cell>
          <cell r="V49">
            <v>7947.6635514018708</v>
          </cell>
          <cell r="W49">
            <v>59738.317757009383</v>
          </cell>
          <cell r="X49">
            <v>11947.663551401876</v>
          </cell>
          <cell r="Y49">
            <v>79738.317757009354</v>
          </cell>
          <cell r="Z49">
            <v>15947.663551401871</v>
          </cell>
          <cell r="AA49">
            <v>2.8810935087386605E-3</v>
          </cell>
        </row>
        <row r="50">
          <cell r="B50" t="str">
            <v>Yuedpao สาขา Robinson บ่อวิน</v>
          </cell>
          <cell r="C50">
            <v>1440000</v>
          </cell>
          <cell r="D50">
            <v>1620000</v>
          </cell>
          <cell r="E50">
            <v>1926000</v>
          </cell>
          <cell r="F50">
            <v>1800000</v>
          </cell>
          <cell r="G50">
            <v>1980000.0000000002</v>
          </cell>
          <cell r="H50">
            <v>2160000</v>
          </cell>
          <cell r="I50">
            <v>58064.516129032258</v>
          </cell>
          <cell r="J50">
            <v>1326237</v>
          </cell>
          <cell r="K50">
            <v>1239473.8317757009</v>
          </cell>
          <cell r="L50">
            <v>2893</v>
          </cell>
          <cell r="M50">
            <v>458.42965779467681</v>
          </cell>
          <cell r="N50">
            <v>51009.115384615383</v>
          </cell>
          <cell r="O50">
            <v>0.6885965732087227</v>
          </cell>
          <cell r="P50">
            <v>200526.16822429909</v>
          </cell>
          <cell r="Q50">
            <v>200526.16822429909</v>
          </cell>
          <cell r="R50">
            <v>380526.16822429909</v>
          </cell>
          <cell r="S50">
            <v>380526.16822429909</v>
          </cell>
          <cell r="T50">
            <v>560526.16822429909</v>
          </cell>
          <cell r="U50">
            <v>-0.31140342679127725</v>
          </cell>
          <cell r="V50">
            <v>112105.23364485982</v>
          </cell>
          <cell r="W50">
            <v>740526.16822429933</v>
          </cell>
          <cell r="X50">
            <v>148105.23364485987</v>
          </cell>
          <cell r="Y50">
            <v>920526.16822429909</v>
          </cell>
          <cell r="Z50">
            <v>184105.23364485981</v>
          </cell>
          <cell r="AA50">
            <v>2.2282556634878908E-2</v>
          </cell>
        </row>
        <row r="51">
          <cell r="B51" t="str">
            <v>Yuedpao สาขา Central โคราช</v>
          </cell>
          <cell r="C51">
            <v>320000</v>
          </cell>
          <cell r="D51">
            <v>360000</v>
          </cell>
          <cell r="E51">
            <v>428000</v>
          </cell>
          <cell r="F51">
            <v>400000</v>
          </cell>
          <cell r="G51">
            <v>440000.00000000006</v>
          </cell>
          <cell r="H51">
            <v>480000</v>
          </cell>
          <cell r="I51">
            <v>12903.225806451614</v>
          </cell>
          <cell r="J51">
            <v>387769</v>
          </cell>
          <cell r="K51">
            <v>362400.93457943923</v>
          </cell>
          <cell r="L51">
            <v>879</v>
          </cell>
          <cell r="M51">
            <v>441.14789533560867</v>
          </cell>
          <cell r="N51">
            <v>14914.192307692309</v>
          </cell>
          <cell r="O51">
            <v>0.90600233644859807</v>
          </cell>
          <cell r="P51">
            <v>-42400.934579439228</v>
          </cell>
          <cell r="Q51">
            <v>-42400.934579439228</v>
          </cell>
          <cell r="R51">
            <v>-2400.9345794392284</v>
          </cell>
          <cell r="S51">
            <v>-2400.9345794392284</v>
          </cell>
          <cell r="T51">
            <v>37599.065420560772</v>
          </cell>
          <cell r="U51">
            <v>-9.3997663551401933E-2</v>
          </cell>
          <cell r="V51">
            <v>7519.8130841121547</v>
          </cell>
          <cell r="W51">
            <v>77599.06542056083</v>
          </cell>
          <cell r="X51">
            <v>15519.813084112166</v>
          </cell>
          <cell r="Y51">
            <v>117599.06542056077</v>
          </cell>
          <cell r="Z51">
            <v>23519.813084112153</v>
          </cell>
          <cell r="AA51">
            <v>6.5150381898185315E-3</v>
          </cell>
        </row>
        <row r="52">
          <cell r="B52" t="str">
            <v>Yuedpao สาขา Robinson ฉลอง ภูเก็ต</v>
          </cell>
          <cell r="C52">
            <v>280000</v>
          </cell>
          <cell r="D52">
            <v>315000</v>
          </cell>
          <cell r="E52">
            <v>374500</v>
          </cell>
          <cell r="F52">
            <v>350000</v>
          </cell>
          <cell r="G52">
            <v>385000.00000000006</v>
          </cell>
          <cell r="H52">
            <v>420000</v>
          </cell>
          <cell r="I52">
            <v>11290.322580645161</v>
          </cell>
          <cell r="J52">
            <v>334650</v>
          </cell>
          <cell r="K52">
            <v>312757.00934579439</v>
          </cell>
          <cell r="L52">
            <v>748</v>
          </cell>
          <cell r="M52">
            <v>447.39304812834223</v>
          </cell>
          <cell r="N52">
            <v>12871.153846153846</v>
          </cell>
          <cell r="O52">
            <v>0.89359145527369821</v>
          </cell>
          <cell r="P52">
            <v>-32757.009345794388</v>
          </cell>
          <cell r="Q52">
            <v>-32757.009345794388</v>
          </cell>
          <cell r="R52">
            <v>2242.9906542056124</v>
          </cell>
          <cell r="S52">
            <v>2242.9906542056124</v>
          </cell>
          <cell r="T52">
            <v>37242.990654205612</v>
          </cell>
          <cell r="U52">
            <v>-0.10640854472630175</v>
          </cell>
          <cell r="V52">
            <v>7448.5981308411228</v>
          </cell>
          <cell r="W52">
            <v>72242.990654205671</v>
          </cell>
          <cell r="X52">
            <v>14448.598130841134</v>
          </cell>
          <cell r="Y52">
            <v>107242.99065420561</v>
          </cell>
          <cell r="Z52">
            <v>21448.598130841121</v>
          </cell>
          <cell r="AA52">
            <v>5.622567895377845E-3</v>
          </cell>
        </row>
        <row r="53">
          <cell r="B53" t="str">
            <v>Yuedpao สาขา The Mall บางแค</v>
          </cell>
          <cell r="C53">
            <v>800000</v>
          </cell>
          <cell r="D53">
            <v>900000</v>
          </cell>
          <cell r="E53">
            <v>1070000</v>
          </cell>
          <cell r="F53">
            <v>1000000</v>
          </cell>
          <cell r="G53">
            <v>1100000</v>
          </cell>
          <cell r="H53">
            <v>1200000</v>
          </cell>
          <cell r="I53">
            <v>32258.064516129034</v>
          </cell>
          <cell r="J53">
            <v>949805.97</v>
          </cell>
          <cell r="K53">
            <v>887669.13084112154</v>
          </cell>
          <cell r="L53">
            <v>1883</v>
          </cell>
          <cell r="M53">
            <v>504.41103027084438</v>
          </cell>
          <cell r="N53">
            <v>36530.998846153845</v>
          </cell>
          <cell r="O53">
            <v>0.88766913084112153</v>
          </cell>
          <cell r="P53">
            <v>-87669.130841121543</v>
          </cell>
          <cell r="Q53">
            <v>-87669.130841121543</v>
          </cell>
          <cell r="R53">
            <v>12330.869158878457</v>
          </cell>
          <cell r="S53">
            <v>12330.869158878457</v>
          </cell>
          <cell r="T53">
            <v>112330.86915887846</v>
          </cell>
          <cell r="U53">
            <v>-0.11233086915887845</v>
          </cell>
          <cell r="V53">
            <v>22466.17383177569</v>
          </cell>
          <cell r="W53">
            <v>212330.86915887846</v>
          </cell>
          <cell r="X53">
            <v>42466.17383177569</v>
          </cell>
          <cell r="Y53">
            <v>312330.86915887846</v>
          </cell>
          <cell r="Z53">
            <v>62466.17383177569</v>
          </cell>
          <cell r="AA53">
            <v>1.5958011515793256E-2</v>
          </cell>
        </row>
        <row r="54">
          <cell r="B54" t="str">
            <v>Yuedpao สาขา Central ปิ่นเกล้า</v>
          </cell>
          <cell r="C54">
            <v>720000</v>
          </cell>
          <cell r="D54">
            <v>810000</v>
          </cell>
          <cell r="E54">
            <v>963000</v>
          </cell>
          <cell r="F54">
            <v>900000</v>
          </cell>
          <cell r="G54">
            <v>990000.00000000012</v>
          </cell>
          <cell r="H54">
            <v>1080000</v>
          </cell>
          <cell r="I54">
            <v>29032.258064516129</v>
          </cell>
          <cell r="J54">
            <v>844991.02</v>
          </cell>
          <cell r="K54">
            <v>789711.23364485987</v>
          </cell>
          <cell r="L54">
            <v>1894</v>
          </cell>
          <cell r="M54">
            <v>446.14098204857447</v>
          </cell>
          <cell r="N54">
            <v>32499.654615384618</v>
          </cell>
          <cell r="O54">
            <v>0.87745692627206651</v>
          </cell>
          <cell r="P54">
            <v>-69711.233644859865</v>
          </cell>
          <cell r="Q54">
            <v>-69711.233644859865</v>
          </cell>
          <cell r="R54">
            <v>20288.766355140135</v>
          </cell>
          <cell r="S54">
            <v>20288.766355140135</v>
          </cell>
          <cell r="T54">
            <v>110288.76635514013</v>
          </cell>
          <cell r="U54">
            <v>-0.12254307372793348</v>
          </cell>
          <cell r="V54">
            <v>22057.753271028028</v>
          </cell>
          <cell r="W54">
            <v>200288.76635514025</v>
          </cell>
          <cell r="X54">
            <v>40057.75327102805</v>
          </cell>
          <cell r="Y54">
            <v>290288.76635514013</v>
          </cell>
          <cell r="Z54">
            <v>58057.753271028028</v>
          </cell>
          <cell r="AA54">
            <v>1.4196980071521228E-2</v>
          </cell>
        </row>
        <row r="55">
          <cell r="B55" t="str">
            <v>Yuedpao สาขา Central นครสวรรค์</v>
          </cell>
          <cell r="C55">
            <v>800000</v>
          </cell>
          <cell r="D55">
            <v>900000</v>
          </cell>
          <cell r="E55">
            <v>1070000</v>
          </cell>
          <cell r="F55">
            <v>1000000</v>
          </cell>
          <cell r="G55">
            <v>1100000</v>
          </cell>
          <cell r="H55">
            <v>1200000</v>
          </cell>
          <cell r="I55">
            <v>32258.064516129034</v>
          </cell>
          <cell r="J55">
            <v>1034186.5</v>
          </cell>
          <cell r="K55">
            <v>966529.43925233639</v>
          </cell>
          <cell r="L55">
            <v>2936</v>
          </cell>
          <cell r="M55">
            <v>352.24335831062672</v>
          </cell>
          <cell r="N55">
            <v>39776.403846153844</v>
          </cell>
          <cell r="O55">
            <v>0.96652943925233636</v>
          </cell>
          <cell r="P55">
            <v>-166529.43925233639</v>
          </cell>
          <cell r="Q55">
            <v>-166529.43925233639</v>
          </cell>
          <cell r="R55">
            <v>-66529.439252336393</v>
          </cell>
          <cell r="S55">
            <v>-66529.439252336393</v>
          </cell>
          <cell r="T55">
            <v>33470.560747663607</v>
          </cell>
          <cell r="U55">
            <v>-3.3470560747663608E-2</v>
          </cell>
          <cell r="V55">
            <v>6694.1121495327216</v>
          </cell>
          <cell r="W55">
            <v>133470.56074766361</v>
          </cell>
          <cell r="X55">
            <v>26694.112149532721</v>
          </cell>
          <cell r="Y55">
            <v>233470.56074766361</v>
          </cell>
          <cell r="Z55">
            <v>46694.112149532724</v>
          </cell>
          <cell r="AA55">
            <v>1.7375717354648677E-2</v>
          </cell>
        </row>
        <row r="56">
          <cell r="B56" t="str">
            <v>Yuedpao สาขา Robinson ลพบุรี</v>
          </cell>
          <cell r="C56">
            <v>680000</v>
          </cell>
          <cell r="D56">
            <v>765000</v>
          </cell>
          <cell r="E56">
            <v>909500</v>
          </cell>
          <cell r="F56">
            <v>850000</v>
          </cell>
          <cell r="G56">
            <v>935000.00000000012</v>
          </cell>
          <cell r="H56">
            <v>1020000</v>
          </cell>
          <cell r="I56">
            <v>27419.354838709678</v>
          </cell>
          <cell r="J56">
            <v>792382.07</v>
          </cell>
          <cell r="K56">
            <v>740543.99065420555</v>
          </cell>
          <cell r="L56">
            <v>1548</v>
          </cell>
          <cell r="M56">
            <v>511.8747222222222</v>
          </cell>
          <cell r="N56">
            <v>30476.233461538461</v>
          </cell>
          <cell r="O56">
            <v>0.87122822429906532</v>
          </cell>
          <cell r="P56">
            <v>-60543.990654205554</v>
          </cell>
          <cell r="Q56">
            <v>-60543.990654205554</v>
          </cell>
          <cell r="R56">
            <v>24456.009345794446</v>
          </cell>
          <cell r="S56">
            <v>24456.009345794446</v>
          </cell>
          <cell r="T56">
            <v>109456.00934579445</v>
          </cell>
          <cell r="U56">
            <v>-0.12877177570093465</v>
          </cell>
          <cell r="V56">
            <v>21891.201869158889</v>
          </cell>
          <cell r="W56">
            <v>194456.00934579456</v>
          </cell>
          <cell r="X56">
            <v>38891.201869158911</v>
          </cell>
          <cell r="Y56">
            <v>279456.00934579445</v>
          </cell>
          <cell r="Z56">
            <v>55891.201869158889</v>
          </cell>
          <cell r="AA56">
            <v>1.3313079299731181E-2</v>
          </cell>
        </row>
        <row r="57">
          <cell r="B57" t="str">
            <v>Yuedpao สาขา Robinson สุพรรณบุรี</v>
          </cell>
          <cell r="C57">
            <v>600000</v>
          </cell>
          <cell r="D57">
            <v>675000</v>
          </cell>
          <cell r="E57">
            <v>802500</v>
          </cell>
          <cell r="F57">
            <v>750000</v>
          </cell>
          <cell r="G57">
            <v>825000.00000000012</v>
          </cell>
          <cell r="H57">
            <v>900000</v>
          </cell>
          <cell r="I57">
            <v>24193.548387096773</v>
          </cell>
          <cell r="J57">
            <v>583536</v>
          </cell>
          <cell r="K57">
            <v>545360.74766355136</v>
          </cell>
          <cell r="L57">
            <v>1307</v>
          </cell>
          <cell r="M57">
            <v>446.4697781178271</v>
          </cell>
          <cell r="N57">
            <v>22443.692307692309</v>
          </cell>
          <cell r="O57">
            <v>0.72714766355140181</v>
          </cell>
          <cell r="P57">
            <v>54639.252336448641</v>
          </cell>
          <cell r="Q57">
            <v>54639.252336448641</v>
          </cell>
          <cell r="R57">
            <v>129639.25233644864</v>
          </cell>
          <cell r="S57">
            <v>129639.25233644864</v>
          </cell>
          <cell r="T57">
            <v>204639.25233644864</v>
          </cell>
          <cell r="U57">
            <v>-0.27285233644859819</v>
          </cell>
          <cell r="V57">
            <v>40927.850467289725</v>
          </cell>
          <cell r="W57">
            <v>279639.25233644876</v>
          </cell>
          <cell r="X57">
            <v>55927.850467289754</v>
          </cell>
          <cell r="Y57">
            <v>354639.25233644864</v>
          </cell>
          <cell r="Z57">
            <v>70927.850467289725</v>
          </cell>
          <cell r="AA57">
            <v>9.8041858042647711E-3</v>
          </cell>
        </row>
        <row r="58">
          <cell r="B58" t="str">
            <v>Yuedpao สาขา Central นครปฐม</v>
          </cell>
          <cell r="C58">
            <v>1200000</v>
          </cell>
          <cell r="D58">
            <v>1350000</v>
          </cell>
          <cell r="E58">
            <v>1605000</v>
          </cell>
          <cell r="F58">
            <v>1500000</v>
          </cell>
          <cell r="G58">
            <v>1650000.0000000002</v>
          </cell>
          <cell r="H58">
            <v>1800000</v>
          </cell>
          <cell r="I58">
            <v>48387.096774193546</v>
          </cell>
          <cell r="J58">
            <v>1020889</v>
          </cell>
          <cell r="K58">
            <v>954101.86915887846</v>
          </cell>
          <cell r="L58">
            <v>2192</v>
          </cell>
          <cell r="M58">
            <v>465.73403284671531</v>
          </cell>
          <cell r="N58">
            <v>39264.961538461539</v>
          </cell>
          <cell r="O58">
            <v>0.63606791277258568</v>
          </cell>
          <cell r="P58">
            <v>245898.13084112154</v>
          </cell>
          <cell r="Q58">
            <v>245898.13084112154</v>
          </cell>
          <cell r="R58">
            <v>395898.13084112154</v>
          </cell>
          <cell r="S58">
            <v>395898.13084112154</v>
          </cell>
          <cell r="T58">
            <v>545898.13084112154</v>
          </cell>
          <cell r="U58">
            <v>-0.36393208722741438</v>
          </cell>
          <cell r="V58">
            <v>109179.62616822431</v>
          </cell>
          <cell r="W58">
            <v>695898.13084112178</v>
          </cell>
          <cell r="X58">
            <v>139179.62616822435</v>
          </cell>
          <cell r="Y58">
            <v>845898.13084112154</v>
          </cell>
          <cell r="Z58">
            <v>169179.62616822432</v>
          </cell>
          <cell r="AA58">
            <v>1.7152301557281913E-2</v>
          </cell>
        </row>
        <row r="59">
          <cell r="B59" t="str">
            <v>Yuedpao สาขา Seacon Square ศรีนครินทร์</v>
          </cell>
          <cell r="C59">
            <v>720000</v>
          </cell>
          <cell r="D59">
            <v>810000</v>
          </cell>
          <cell r="E59">
            <v>963000</v>
          </cell>
          <cell r="F59">
            <v>900000</v>
          </cell>
          <cell r="G59">
            <v>990000.00000000012</v>
          </cell>
          <cell r="H59">
            <v>1080000</v>
          </cell>
          <cell r="I59">
            <v>29032.258064516129</v>
          </cell>
          <cell r="J59">
            <v>835066</v>
          </cell>
          <cell r="K59">
            <v>780435.51401869161</v>
          </cell>
          <cell r="L59">
            <v>1712</v>
          </cell>
          <cell r="M59">
            <v>487.77219626168227</v>
          </cell>
          <cell r="N59">
            <v>32117.923076923078</v>
          </cell>
          <cell r="O59">
            <v>0.86715057113187954</v>
          </cell>
          <cell r="P59">
            <v>-60435.514018691611</v>
          </cell>
          <cell r="Q59">
            <v>-60435.514018691611</v>
          </cell>
          <cell r="R59">
            <v>29564.485981308389</v>
          </cell>
          <cell r="S59">
            <v>29564.485981308389</v>
          </cell>
          <cell r="T59">
            <v>119564.48598130839</v>
          </cell>
          <cell r="U59">
            <v>-0.13284942886812043</v>
          </cell>
          <cell r="V59">
            <v>23912.897196261678</v>
          </cell>
          <cell r="W59">
            <v>209564.48598130851</v>
          </cell>
          <cell r="X59">
            <v>41912.8971962617</v>
          </cell>
          <cell r="Y59">
            <v>299564.48598130839</v>
          </cell>
          <cell r="Z59">
            <v>59912.897196261678</v>
          </cell>
          <cell r="AA59">
            <v>1.4030226451879861E-2</v>
          </cell>
        </row>
        <row r="60">
          <cell r="B60" t="str">
            <v>Yuedpao สาขา Market Village สุวรรณภูมิ</v>
          </cell>
          <cell r="C60">
            <v>320000</v>
          </cell>
          <cell r="D60">
            <v>360000</v>
          </cell>
          <cell r="E60">
            <v>428000</v>
          </cell>
          <cell r="F60">
            <v>400000</v>
          </cell>
          <cell r="G60">
            <v>440000.00000000006</v>
          </cell>
          <cell r="H60">
            <v>480000</v>
          </cell>
          <cell r="I60">
            <v>12903.225806451614</v>
          </cell>
          <cell r="J60">
            <v>357708</v>
          </cell>
          <cell r="K60">
            <v>334306.54205607477</v>
          </cell>
          <cell r="L60">
            <v>862</v>
          </cell>
          <cell r="M60">
            <v>414.97447795823666</v>
          </cell>
          <cell r="N60">
            <v>13758</v>
          </cell>
          <cell r="O60">
            <v>0.83576635514018693</v>
          </cell>
          <cell r="P60">
            <v>-14306.542056074773</v>
          </cell>
          <cell r="Q60">
            <v>-14306.542056074773</v>
          </cell>
          <cell r="R60">
            <v>25693.457943925227</v>
          </cell>
          <cell r="S60">
            <v>25693.457943925227</v>
          </cell>
          <cell r="T60">
            <v>65693.457943925227</v>
          </cell>
          <cell r="U60">
            <v>-0.16423364485981307</v>
          </cell>
          <cell r="V60">
            <v>13138.691588785045</v>
          </cell>
          <cell r="W60">
            <v>105693.45794392528</v>
          </cell>
          <cell r="X60">
            <v>21138.691588785056</v>
          </cell>
          <cell r="Y60">
            <v>145693.45794392523</v>
          </cell>
          <cell r="Z60">
            <v>29138.691588785045</v>
          </cell>
          <cell r="AA60">
            <v>6.0099731561924939E-3</v>
          </cell>
        </row>
        <row r="61">
          <cell r="B61" t="str">
            <v>Yuedpao สาขา Robinson บุรีรัมย์</v>
          </cell>
          <cell r="C61">
            <v>400000</v>
          </cell>
          <cell r="D61">
            <v>450000</v>
          </cell>
          <cell r="E61">
            <v>535000</v>
          </cell>
          <cell r="F61">
            <v>500000</v>
          </cell>
          <cell r="G61">
            <v>550000</v>
          </cell>
          <cell r="H61">
            <v>600000</v>
          </cell>
          <cell r="I61">
            <v>16129.032258064517</v>
          </cell>
          <cell r="J61">
            <v>402660</v>
          </cell>
          <cell r="K61">
            <v>376317.75700934581</v>
          </cell>
          <cell r="L61">
            <v>799</v>
          </cell>
          <cell r="M61">
            <v>503.95494367959952</v>
          </cell>
          <cell r="N61">
            <v>15486.923076923076</v>
          </cell>
          <cell r="O61">
            <v>0.75263551401869166</v>
          </cell>
          <cell r="P61">
            <v>23682.242990654195</v>
          </cell>
          <cell r="Q61">
            <v>23682.242990654195</v>
          </cell>
          <cell r="R61">
            <v>73682.242990654195</v>
          </cell>
          <cell r="S61">
            <v>73682.242990654195</v>
          </cell>
          <cell r="T61">
            <v>123682.24299065419</v>
          </cell>
          <cell r="U61">
            <v>-0.24736448598130839</v>
          </cell>
          <cell r="V61">
            <v>24736.448598130839</v>
          </cell>
          <cell r="W61">
            <v>173682.24299065419</v>
          </cell>
          <cell r="X61">
            <v>34736.448598130839</v>
          </cell>
          <cell r="Y61">
            <v>223682.24299065419</v>
          </cell>
          <cell r="Z61">
            <v>44736.448598130839</v>
          </cell>
          <cell r="AA61">
            <v>6.7652269199248265E-3</v>
          </cell>
        </row>
        <row r="62">
          <cell r="B62" t="str">
            <v>Yuedpao สาขา Robinson ลาดกระบัง</v>
          </cell>
          <cell r="C62">
            <v>560000</v>
          </cell>
          <cell r="D62">
            <v>0</v>
          </cell>
          <cell r="E62">
            <v>749000</v>
          </cell>
          <cell r="F62">
            <v>700000</v>
          </cell>
          <cell r="G62">
            <v>770000.00000000012</v>
          </cell>
          <cell r="H62">
            <v>840000</v>
          </cell>
          <cell r="I62">
            <v>22580.645161290322</v>
          </cell>
          <cell r="J62">
            <v>614632.31000000006</v>
          </cell>
          <cell r="K62">
            <v>574422.71962616825</v>
          </cell>
          <cell r="L62">
            <v>1295</v>
          </cell>
          <cell r="M62">
            <v>474.61954440154443</v>
          </cell>
          <cell r="N62">
            <v>23639.704230769232</v>
          </cell>
          <cell r="O62">
            <v>0.82060388518024041</v>
          </cell>
          <cell r="P62">
            <v>-14422.719626168255</v>
          </cell>
          <cell r="Q62">
            <v>-14422.719626168255</v>
          </cell>
          <cell r="R62">
            <v>-574422.71962616825</v>
          </cell>
          <cell r="S62">
            <v>-574422.71962616825</v>
          </cell>
          <cell r="T62">
            <v>125577.28037383175</v>
          </cell>
          <cell r="U62">
            <v>-0.17939611481975964</v>
          </cell>
          <cell r="V62">
            <v>25115.456074766349</v>
          </cell>
          <cell r="W62">
            <v>195577.28037383186</v>
          </cell>
          <cell r="X62">
            <v>39115.456074766371</v>
          </cell>
          <cell r="Y62">
            <v>265577.28037383175</v>
          </cell>
          <cell r="Z62">
            <v>53115.456074766349</v>
          </cell>
          <cell r="AA62">
            <v>1.0326645431549151E-2</v>
          </cell>
        </row>
        <row r="63">
          <cell r="B63" t="str">
            <v>Yuedpao สาขา Robinson ปราจีนบุรี</v>
          </cell>
          <cell r="C63">
            <v>800000</v>
          </cell>
          <cell r="D63">
            <v>0</v>
          </cell>
          <cell r="E63">
            <v>1070000</v>
          </cell>
          <cell r="F63">
            <v>1000000</v>
          </cell>
          <cell r="G63">
            <v>1100000</v>
          </cell>
          <cell r="H63">
            <v>1200000</v>
          </cell>
          <cell r="I63">
            <v>32258.064516129034</v>
          </cell>
          <cell r="J63">
            <v>979491</v>
          </cell>
          <cell r="K63">
            <v>915412.14953271032</v>
          </cell>
          <cell r="L63">
            <v>1979</v>
          </cell>
          <cell r="M63">
            <v>494.94239514906519</v>
          </cell>
          <cell r="N63">
            <v>37672.730769230766</v>
          </cell>
          <cell r="O63">
            <v>0.91541214953271033</v>
          </cell>
          <cell r="P63">
            <v>-115412.14953271032</v>
          </cell>
          <cell r="Q63">
            <v>-115412.14953271032</v>
          </cell>
          <cell r="R63">
            <v>-915412.14953271032</v>
          </cell>
          <cell r="S63">
            <v>-915412.14953271032</v>
          </cell>
          <cell r="T63">
            <v>84587.850467289682</v>
          </cell>
          <cell r="U63">
            <v>-8.4587850467289685E-2</v>
          </cell>
          <cell r="V63">
            <v>16917.570093457936</v>
          </cell>
          <cell r="W63">
            <v>184587.85046728968</v>
          </cell>
          <cell r="X63">
            <v>36917.570093457936</v>
          </cell>
          <cell r="Y63">
            <v>284587.85046728968</v>
          </cell>
          <cell r="Z63">
            <v>56917.570093457936</v>
          </cell>
          <cell r="AA63">
            <v>1.6456759750221248E-2</v>
          </cell>
        </row>
        <row r="64">
          <cell r="B64" t="str">
            <v>Yuedpao สาขา The Street รัชดา</v>
          </cell>
          <cell r="C64">
            <v>480000</v>
          </cell>
          <cell r="E64">
            <v>642000</v>
          </cell>
          <cell r="F64">
            <v>600000</v>
          </cell>
          <cell r="G64">
            <v>660000</v>
          </cell>
          <cell r="H64">
            <v>720000</v>
          </cell>
          <cell r="I64">
            <v>19354.83870967742</v>
          </cell>
          <cell r="J64">
            <v>467982</v>
          </cell>
          <cell r="K64">
            <v>437366.3551401869</v>
          </cell>
          <cell r="L64">
            <v>1003</v>
          </cell>
          <cell r="M64">
            <v>466.58225324027916</v>
          </cell>
          <cell r="N64">
            <v>17999.307692307691</v>
          </cell>
          <cell r="O64">
            <v>0.72894392523364482</v>
          </cell>
          <cell r="P64">
            <v>42633.644859813096</v>
          </cell>
          <cell r="Q64">
            <v>42633.644859813096</v>
          </cell>
          <cell r="R64">
            <v>-437366.3551401869</v>
          </cell>
          <cell r="S64">
            <v>-437366.3551401869</v>
          </cell>
          <cell r="T64">
            <v>162633.6448598131</v>
          </cell>
          <cell r="U64">
            <v>-0.27105607476635518</v>
          </cell>
          <cell r="V64">
            <v>32526.728971962621</v>
          </cell>
          <cell r="W64">
            <v>222633.6448598131</v>
          </cell>
          <cell r="X64">
            <v>44526.728971962621</v>
          </cell>
          <cell r="Y64">
            <v>282633.6448598131</v>
          </cell>
          <cell r="Z64">
            <v>56526.728971962621</v>
          </cell>
          <cell r="AA64">
            <v>7.8627239468540694E-3</v>
          </cell>
        </row>
        <row r="65">
          <cell r="B65" t="str">
            <v>Yuedpao สาขา MAYA เชียงใหม่</v>
          </cell>
          <cell r="C65">
            <v>960000</v>
          </cell>
          <cell r="E65">
            <v>1284000</v>
          </cell>
          <cell r="F65">
            <v>1200000</v>
          </cell>
          <cell r="G65">
            <v>1320000</v>
          </cell>
          <cell r="H65">
            <v>1440000</v>
          </cell>
          <cell r="I65">
            <v>38709.677419354841</v>
          </cell>
          <cell r="J65">
            <v>961407</v>
          </cell>
          <cell r="K65">
            <v>898511.21495327097</v>
          </cell>
          <cell r="L65">
            <v>2262</v>
          </cell>
          <cell r="M65">
            <v>425.02519893899205</v>
          </cell>
          <cell r="N65">
            <v>36977.192307692305</v>
          </cell>
          <cell r="O65">
            <v>0.74875934579439252</v>
          </cell>
          <cell r="P65">
            <v>61488.785046729026</v>
          </cell>
          <cell r="Q65">
            <v>61488.785046729026</v>
          </cell>
          <cell r="R65">
            <v>-898511.21495327097</v>
          </cell>
          <cell r="S65">
            <v>-898511.21495327097</v>
          </cell>
          <cell r="T65">
            <v>301488.78504672903</v>
          </cell>
          <cell r="U65">
            <v>-0.25124065420560754</v>
          </cell>
          <cell r="V65">
            <v>60297.757009345805</v>
          </cell>
          <cell r="W65">
            <v>421488.78504672903</v>
          </cell>
          <cell r="X65">
            <v>84297.757009345805</v>
          </cell>
          <cell r="Y65">
            <v>541488.78504672903</v>
          </cell>
          <cell r="Z65">
            <v>108297.75700934581</v>
          </cell>
          <cell r="AA65">
            <v>1.615292434660549E-2</v>
          </cell>
        </row>
        <row r="66">
          <cell r="B66" t="str">
            <v>Yuedpao สาขา Imperial World สำโรง</v>
          </cell>
          <cell r="C66">
            <v>800000</v>
          </cell>
          <cell r="E66">
            <v>1070000</v>
          </cell>
          <cell r="F66">
            <v>1000000</v>
          </cell>
          <cell r="G66">
            <v>1100000</v>
          </cell>
          <cell r="H66">
            <v>1200000</v>
          </cell>
          <cell r="I66">
            <v>32258.064516129034</v>
          </cell>
          <cell r="J66">
            <v>1025765</v>
          </cell>
          <cell r="K66">
            <v>958658.8785046729</v>
          </cell>
          <cell r="L66">
            <v>2977</v>
          </cell>
          <cell r="M66">
            <v>344.56331877729258</v>
          </cell>
          <cell r="N66">
            <v>39452.5</v>
          </cell>
          <cell r="O66">
            <v>0.95865887850467291</v>
          </cell>
          <cell r="P66">
            <v>-158658.8785046729</v>
          </cell>
          <cell r="Q66">
            <v>-158658.8785046729</v>
          </cell>
          <cell r="R66">
            <v>-958658.8785046729</v>
          </cell>
          <cell r="S66">
            <v>-958658.8785046729</v>
          </cell>
          <cell r="T66">
            <v>41341.121495327097</v>
          </cell>
          <cell r="U66">
            <v>-4.13411214953271E-2</v>
          </cell>
          <cell r="V66">
            <v>8268.2242990654195</v>
          </cell>
          <cell r="W66">
            <v>141341.1214953271</v>
          </cell>
          <cell r="X66">
            <v>28268.224299065419</v>
          </cell>
          <cell r="Y66">
            <v>241341.1214953271</v>
          </cell>
          <cell r="Z66">
            <v>48268.224299065419</v>
          </cell>
          <cell r="AA66">
            <v>1.7234224883317661E-2</v>
          </cell>
        </row>
        <row r="67">
          <cell r="B67" t="str">
            <v>Yuedpao สาขา BigC ยะลา</v>
          </cell>
          <cell r="C67">
            <v>400000</v>
          </cell>
          <cell r="E67">
            <v>535000</v>
          </cell>
          <cell r="F67">
            <v>500000</v>
          </cell>
          <cell r="G67">
            <v>550000</v>
          </cell>
          <cell r="H67">
            <v>600000</v>
          </cell>
          <cell r="I67">
            <v>16129.032258064517</v>
          </cell>
          <cell r="J67">
            <v>453045</v>
          </cell>
          <cell r="K67">
            <v>423406.54205607477</v>
          </cell>
          <cell r="L67">
            <v>1075</v>
          </cell>
          <cell r="M67">
            <v>421.43720930232558</v>
          </cell>
          <cell r="N67">
            <v>17424.807692307691</v>
          </cell>
          <cell r="O67">
            <v>0.84681308411214951</v>
          </cell>
          <cell r="P67">
            <v>-23406.542056074773</v>
          </cell>
          <cell r="Q67">
            <v>-23406.542056074773</v>
          </cell>
          <cell r="R67">
            <v>-423406.54205607477</v>
          </cell>
          <cell r="S67">
            <v>-423406.54205607477</v>
          </cell>
          <cell r="T67">
            <v>76593.457943925227</v>
          </cell>
          <cell r="U67">
            <v>-0.15318691588785047</v>
          </cell>
          <cell r="V67">
            <v>15318.691588785045</v>
          </cell>
          <cell r="W67">
            <v>126593.45794392523</v>
          </cell>
          <cell r="X67">
            <v>25318.691588785045</v>
          </cell>
          <cell r="Y67">
            <v>176593.45794392523</v>
          </cell>
          <cell r="Z67">
            <v>35318.691588785048</v>
          </cell>
          <cell r="AA67">
            <v>7.611762355181401E-3</v>
          </cell>
        </row>
        <row r="68">
          <cell r="B68" t="str">
            <v>Yuedpao สาขา จตุจักรโครงการ 22 ริมถนน</v>
          </cell>
          <cell r="C68">
            <v>480000</v>
          </cell>
          <cell r="D68">
            <v>540000</v>
          </cell>
          <cell r="E68">
            <v>642000</v>
          </cell>
          <cell r="F68">
            <v>600000</v>
          </cell>
          <cell r="G68">
            <v>660000</v>
          </cell>
          <cell r="H68">
            <v>720000</v>
          </cell>
          <cell r="I68">
            <v>40000</v>
          </cell>
          <cell r="J68">
            <v>628336</v>
          </cell>
          <cell r="K68">
            <v>587229.90654205612</v>
          </cell>
          <cell r="L68">
            <v>2124</v>
          </cell>
          <cell r="M68">
            <v>295.82674199623352</v>
          </cell>
          <cell r="N68">
            <v>52361.333333333336</v>
          </cell>
          <cell r="O68">
            <v>0.97871651090342693</v>
          </cell>
          <cell r="P68">
            <v>-107229.90654205612</v>
          </cell>
          <cell r="Q68">
            <v>-107229.90654205612</v>
          </cell>
          <cell r="R68">
            <v>-47229.906542056124</v>
          </cell>
          <cell r="S68">
            <v>-47229.906542056124</v>
          </cell>
          <cell r="T68">
            <v>12770.093457943876</v>
          </cell>
          <cell r="U68">
            <v>-2.1283489096573127E-2</v>
          </cell>
          <cell r="V68">
            <v>12770.093457943876</v>
          </cell>
          <cell r="W68">
            <v>72770.093457943876</v>
          </cell>
          <cell r="X68">
            <v>72770.093457943876</v>
          </cell>
          <cell r="Y68">
            <v>132770.09345794388</v>
          </cell>
          <cell r="Z68">
            <v>132770.09345794388</v>
          </cell>
          <cell r="AA68">
            <v>1.0556885764560387E-2</v>
          </cell>
        </row>
        <row r="69">
          <cell r="B69" t="str">
            <v>Yuedpao สาขา จตุจักรโครงการ 28</v>
          </cell>
          <cell r="C69">
            <v>560000</v>
          </cell>
          <cell r="D69">
            <v>630000</v>
          </cell>
          <cell r="E69">
            <v>749000</v>
          </cell>
          <cell r="F69">
            <v>700000</v>
          </cell>
          <cell r="G69">
            <v>770000.00000000012</v>
          </cell>
          <cell r="H69">
            <v>840000</v>
          </cell>
          <cell r="I69">
            <v>46666.666666666664</v>
          </cell>
          <cell r="J69">
            <v>831757</v>
          </cell>
          <cell r="K69">
            <v>777342.99065420555</v>
          </cell>
          <cell r="L69">
            <v>2867</v>
          </cell>
          <cell r="M69">
            <v>290.11405650505753</v>
          </cell>
          <cell r="N69">
            <v>69313.083333333328</v>
          </cell>
          <cell r="O69">
            <v>1.1104899866488651</v>
          </cell>
          <cell r="P69">
            <v>-217342.99065420555</v>
          </cell>
          <cell r="Q69">
            <v>-217342.99065420555</v>
          </cell>
          <cell r="R69">
            <v>-147342.99065420555</v>
          </cell>
          <cell r="S69">
            <v>-147342.99065420555</v>
          </cell>
          <cell r="T69">
            <v>-77342.990654205554</v>
          </cell>
          <cell r="U69">
            <v>0.11048998664886507</v>
          </cell>
          <cell r="V69">
            <v>-77342.990654205554</v>
          </cell>
          <cell r="W69">
            <v>-7342.9906542054377</v>
          </cell>
          <cell r="X69">
            <v>-7342.9906542054377</v>
          </cell>
          <cell r="Y69">
            <v>62657.009345794446</v>
          </cell>
          <cell r="Z69">
            <v>62657.009345794446</v>
          </cell>
          <cell r="AA69">
            <v>1.3974630823116061E-2</v>
          </cell>
        </row>
        <row r="70">
          <cell r="B70" t="str">
            <v>Event Big C สุขสวัสดิ์</v>
          </cell>
          <cell r="E70">
            <v>0</v>
          </cell>
          <cell r="F70">
            <v>0</v>
          </cell>
          <cell r="I70">
            <v>0</v>
          </cell>
          <cell r="J70">
            <v>574820</v>
          </cell>
          <cell r="K70">
            <v>537214.953271028</v>
          </cell>
          <cell r="L70">
            <v>1995</v>
          </cell>
          <cell r="M70">
            <v>288.13032581453632</v>
          </cell>
          <cell r="N70">
            <v>19821.379310344826</v>
          </cell>
          <cell r="O70" t="e">
            <v>#DIV/0!</v>
          </cell>
          <cell r="T70">
            <v>-537214.953271028</v>
          </cell>
          <cell r="U70" t="e">
            <v>#DIV/0!</v>
          </cell>
          <cell r="V70">
            <v>-537214.953271028</v>
          </cell>
          <cell r="W70">
            <v>-537214.953271028</v>
          </cell>
          <cell r="X70">
            <v>-537214.953271028</v>
          </cell>
          <cell r="Y70">
            <v>-537214.953271028</v>
          </cell>
          <cell r="Z70">
            <v>-537214.953271028</v>
          </cell>
          <cell r="AA70">
            <v>9.6577453387751162E-3</v>
          </cell>
        </row>
        <row r="71">
          <cell r="B71" t="str">
            <v>Event Bluport หัวหิน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380078</v>
          </cell>
          <cell r="K71">
            <v>355213.08411214955</v>
          </cell>
          <cell r="L71">
            <v>1014</v>
          </cell>
          <cell r="M71">
            <v>374.83037475345168</v>
          </cell>
          <cell r="N71">
            <v>13106.137931034482</v>
          </cell>
          <cell r="O71" t="e">
            <v>#DIV/0!</v>
          </cell>
          <cell r="P71">
            <v>-355213.08411214955</v>
          </cell>
          <cell r="Q71">
            <v>-355213.08411214955</v>
          </cell>
          <cell r="R71">
            <v>-355213.08411214955</v>
          </cell>
          <cell r="S71">
            <v>-355213.08411214955</v>
          </cell>
          <cell r="T71">
            <v>-355213.08411214955</v>
          </cell>
          <cell r="U71" t="e">
            <v>#DIV/0!</v>
          </cell>
          <cell r="V71">
            <v>-355213.08411214955</v>
          </cell>
          <cell r="W71">
            <v>-355213.08411214955</v>
          </cell>
          <cell r="X71">
            <v>-355213.08411214955</v>
          </cell>
          <cell r="Y71">
            <v>-355213.08411214955</v>
          </cell>
          <cell r="Z71">
            <v>-355213.08411214955</v>
          </cell>
          <cell r="AA71">
            <v>6.3858190961883178E-3</v>
          </cell>
        </row>
        <row r="72">
          <cell r="B72" t="str">
            <v>Event Central ชลบุรี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222535</v>
          </cell>
          <cell r="K72">
            <v>207976.63551401868</v>
          </cell>
          <cell r="L72">
            <v>611</v>
          </cell>
          <cell r="M72">
            <v>364.21440261865791</v>
          </cell>
          <cell r="N72">
            <v>7673.6206896551721</v>
          </cell>
          <cell r="O72" t="e">
            <v>#DIV/0!</v>
          </cell>
          <cell r="P72">
            <v>-207976.63551401868</v>
          </cell>
          <cell r="Q72">
            <v>-207976.63551401868</v>
          </cell>
          <cell r="R72">
            <v>-207976.63551401868</v>
          </cell>
          <cell r="S72">
            <v>-207976.63551401868</v>
          </cell>
          <cell r="T72">
            <v>-207976.63551401868</v>
          </cell>
          <cell r="U72" t="e">
            <v>#DIV/0!</v>
          </cell>
          <cell r="V72">
            <v>-207976.63551401868</v>
          </cell>
          <cell r="W72">
            <v>-207976.63551401868</v>
          </cell>
          <cell r="X72">
            <v>-207976.63551401868</v>
          </cell>
          <cell r="Y72">
            <v>-207976.63551401868</v>
          </cell>
          <cell r="Z72">
            <v>-207976.63551401868</v>
          </cell>
          <cell r="AA72">
            <v>3.7388858407228706E-3</v>
          </cell>
        </row>
        <row r="73">
          <cell r="B73" t="str">
            <v>Event Central ลำปาง</v>
          </cell>
          <cell r="F73">
            <v>0</v>
          </cell>
          <cell r="J73">
            <v>72536</v>
          </cell>
          <cell r="K73">
            <v>67790.654205607483</v>
          </cell>
          <cell r="L73">
            <v>195</v>
          </cell>
          <cell r="M73">
            <v>371.97948717948719</v>
          </cell>
          <cell r="N73">
            <v>2501.2413793103447</v>
          </cell>
          <cell r="V73">
            <v>0</v>
          </cell>
          <cell r="X73">
            <v>0</v>
          </cell>
          <cell r="Z73">
            <v>0</v>
          </cell>
          <cell r="AA73">
            <v>1.2187018821429177E-3</v>
          </cell>
        </row>
        <row r="74">
          <cell r="B74" t="str">
            <v>Event Robinson กาญจนบุรี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547759</v>
          </cell>
          <cell r="K74">
            <v>511924.29906542058</v>
          </cell>
          <cell r="L74">
            <v>1608</v>
          </cell>
          <cell r="M74">
            <v>340.64614427860698</v>
          </cell>
          <cell r="N74">
            <v>18888.241379310344</v>
          </cell>
          <cell r="O74" t="e">
            <v>#DIV/0!</v>
          </cell>
          <cell r="P74">
            <v>-511924.29906542058</v>
          </cell>
          <cell r="Q74">
            <v>-511924.29906542058</v>
          </cell>
          <cell r="R74">
            <v>-511924.29906542058</v>
          </cell>
          <cell r="S74">
            <v>-511924.29906542058</v>
          </cell>
          <cell r="T74">
            <v>-511924.29906542058</v>
          </cell>
          <cell r="U74" t="e">
            <v>#DIV/0!</v>
          </cell>
          <cell r="V74">
            <v>-511924.29906542058</v>
          </cell>
          <cell r="W74">
            <v>-511924.29906542058</v>
          </cell>
          <cell r="X74">
            <v>-511924.29906542058</v>
          </cell>
          <cell r="Y74">
            <v>-511924.29906542058</v>
          </cell>
          <cell r="Z74">
            <v>-511924.29906542058</v>
          </cell>
          <cell r="AA74">
            <v>9.2030843203474468E-3</v>
          </cell>
        </row>
        <row r="75">
          <cell r="B75" t="str">
            <v>Event Robinson สมุทรปราการ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298975</v>
          </cell>
          <cell r="K75">
            <v>279415.88785046729</v>
          </cell>
          <cell r="L75">
            <v>981</v>
          </cell>
          <cell r="M75">
            <v>304.76554536187564</v>
          </cell>
          <cell r="N75">
            <v>10309.48275862069</v>
          </cell>
          <cell r="V75">
            <v>0</v>
          </cell>
          <cell r="X75">
            <v>0</v>
          </cell>
          <cell r="Z75">
            <v>0</v>
          </cell>
          <cell r="AA75">
            <v>5.0231801479772636E-3</v>
          </cell>
        </row>
        <row r="76">
          <cell r="B76" t="str">
            <v>Event Robinson สุรินทร์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305880</v>
          </cell>
          <cell r="K76">
            <v>285869.15887850465</v>
          </cell>
          <cell r="L76">
            <v>890</v>
          </cell>
          <cell r="M76">
            <v>343.68539325842698</v>
          </cell>
          <cell r="N76">
            <v>10547.586206896553</v>
          </cell>
          <cell r="O76" t="e">
            <v>#DIV/0!</v>
          </cell>
          <cell r="P76">
            <v>-285869.15887850465</v>
          </cell>
          <cell r="Q76">
            <v>-285869.15887850465</v>
          </cell>
          <cell r="R76">
            <v>-285869.15887850465</v>
          </cell>
          <cell r="S76">
            <v>-285869.15887850465</v>
          </cell>
          <cell r="T76">
            <v>-285869.15887850465</v>
          </cell>
          <cell r="U76" t="e">
            <v>#DIV/0!</v>
          </cell>
          <cell r="V76">
            <v>-285869.15887850465</v>
          </cell>
          <cell r="W76">
            <v>-285869.15887850465</v>
          </cell>
          <cell r="X76">
            <v>-285869.15887850465</v>
          </cell>
          <cell r="Y76">
            <v>-285869.15887850465</v>
          </cell>
          <cell r="Z76">
            <v>-285869.15887850465</v>
          </cell>
          <cell r="AA76">
            <v>5.1391933896255048E-3</v>
          </cell>
        </row>
        <row r="77">
          <cell r="B77" t="str">
            <v>Event The Ocean ชุมพร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132664</v>
          </cell>
          <cell r="K77">
            <v>123985.04672897197</v>
          </cell>
          <cell r="L77">
            <v>388</v>
          </cell>
          <cell r="M77">
            <v>341.91752577319585</v>
          </cell>
          <cell r="N77">
            <v>4574.6206896551721</v>
          </cell>
          <cell r="O77" t="e">
            <v>#DIV/0!</v>
          </cell>
          <cell r="P77">
            <v>-123985.04672897197</v>
          </cell>
          <cell r="Q77">
            <v>-123985.04672897197</v>
          </cell>
          <cell r="R77">
            <v>-123985.04672897197</v>
          </cell>
          <cell r="S77">
            <v>-123985.04672897197</v>
          </cell>
          <cell r="T77">
            <v>-123985.04672897197</v>
          </cell>
          <cell r="U77" t="e">
            <v>#DIV/0!</v>
          </cell>
          <cell r="V77">
            <v>-123985.04672897197</v>
          </cell>
          <cell r="W77">
            <v>-123985.04672897197</v>
          </cell>
          <cell r="X77">
            <v>-123985.04672897197</v>
          </cell>
          <cell r="Y77">
            <v>-123985.04672897197</v>
          </cell>
          <cell r="Z77">
            <v>-123985.04672897197</v>
          </cell>
          <cell r="AA77">
            <v>2.2289327574253892E-3</v>
          </cell>
        </row>
        <row r="78">
          <cell r="B78" t="str">
            <v>Event I am China Town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384972.5</v>
          </cell>
          <cell r="K78">
            <v>359787.38317757007</v>
          </cell>
          <cell r="L78">
            <v>973</v>
          </cell>
          <cell r="M78">
            <v>395.65519013360739</v>
          </cell>
          <cell r="N78">
            <v>13274.913793103447</v>
          </cell>
          <cell r="O78" t="e">
            <v>#DIV/0!</v>
          </cell>
          <cell r="P78">
            <v>-359787.38317757007</v>
          </cell>
          <cell r="Q78">
            <v>-359787.38317757007</v>
          </cell>
          <cell r="R78">
            <v>-359787.38317757007</v>
          </cell>
          <cell r="S78">
            <v>-359787.38317757007</v>
          </cell>
          <cell r="T78">
            <v>-359787.38317757007</v>
          </cell>
          <cell r="U78" t="e">
            <v>#DIV/0!</v>
          </cell>
          <cell r="V78">
            <v>-359787.38317757007</v>
          </cell>
          <cell r="W78">
            <v>-359787.38317757007</v>
          </cell>
          <cell r="X78">
            <v>-359787.38317757007</v>
          </cell>
          <cell r="Y78">
            <v>-359787.38317757007</v>
          </cell>
          <cell r="Z78">
            <v>-359787.38317757007</v>
          </cell>
          <cell r="AA78">
            <v>6.4680532469844534E-3</v>
          </cell>
        </row>
        <row r="79">
          <cell r="B79" t="str">
            <v>Event Muuji Festival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531105</v>
          </cell>
          <cell r="K79">
            <v>496359.81308411213</v>
          </cell>
          <cell r="L79">
            <v>703</v>
          </cell>
          <cell r="M79">
            <v>755.48364153627313</v>
          </cell>
          <cell r="N79">
            <v>18313.96551724138</v>
          </cell>
          <cell r="O79" t="e">
            <v>#DIV/0!</v>
          </cell>
          <cell r="P79">
            <v>-496359.81308411213</v>
          </cell>
          <cell r="Q79">
            <v>-496359.81308411213</v>
          </cell>
          <cell r="R79">
            <v>-496359.81308411213</v>
          </cell>
          <cell r="S79">
            <v>-496359.81308411213</v>
          </cell>
          <cell r="T79">
            <v>-496359.81308411213</v>
          </cell>
          <cell r="U79" t="e">
            <v>#DIV/0!</v>
          </cell>
          <cell r="V79">
            <v>-496359.81308411213</v>
          </cell>
          <cell r="W79">
            <v>-496359.81308411213</v>
          </cell>
          <cell r="X79">
            <v>-496359.81308411213</v>
          </cell>
          <cell r="Y79">
            <v>-496359.81308411213</v>
          </cell>
          <cell r="Z79">
            <v>-496359.81308411213</v>
          </cell>
          <cell r="AA79">
            <v>8.9232748306429105E-3</v>
          </cell>
        </row>
        <row r="80">
          <cell r="B80" t="str">
            <v>Event lazy Music Festival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27410</v>
          </cell>
          <cell r="K80">
            <v>25616.82242990654</v>
          </cell>
          <cell r="L80">
            <v>33</v>
          </cell>
          <cell r="M80">
            <v>830.60606060606062</v>
          </cell>
          <cell r="N80">
            <v>945.17241379310349</v>
          </cell>
          <cell r="O80" t="e">
            <v>#DIV/0!</v>
          </cell>
          <cell r="P80">
            <v>-25616.82242990654</v>
          </cell>
          <cell r="Q80">
            <v>-25616.82242990654</v>
          </cell>
          <cell r="R80">
            <v>-25616.82242990654</v>
          </cell>
          <cell r="S80">
            <v>-25616.82242990654</v>
          </cell>
          <cell r="T80">
            <v>-25616.82242990654</v>
          </cell>
          <cell r="U80" t="e">
            <v>#DIV/0!</v>
          </cell>
          <cell r="V80">
            <v>-25616.82242990654</v>
          </cell>
          <cell r="W80">
            <v>-25616.82242990654</v>
          </cell>
          <cell r="X80">
            <v>-25616.82242990654</v>
          </cell>
          <cell r="Y80">
            <v>-25616.82242990654</v>
          </cell>
          <cell r="Z80">
            <v>-25616.82242990654</v>
          </cell>
          <cell r="AA80">
            <v>4.605246855290803E-4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 t="e">
            <v>#DIV/0!</v>
          </cell>
          <cell r="N81">
            <v>0</v>
          </cell>
          <cell r="O81" t="e">
            <v>#DIV/0!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e">
            <v>#DIV/0!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 t="e">
            <v>#DIV/0!</v>
          </cell>
          <cell r="N82">
            <v>0</v>
          </cell>
          <cell r="O82" t="e">
            <v>#DIV/0!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 t="e">
            <v>#DIV/0!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e">
            <v>#DIV/0!</v>
          </cell>
          <cell r="N83">
            <v>0</v>
          </cell>
          <cell r="O83" t="e">
            <v>#DIV/0!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 t="e">
            <v>#DIV/0!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e">
            <v>#DIV/0!</v>
          </cell>
          <cell r="N84">
            <v>0</v>
          </cell>
          <cell r="O84" t="e">
            <v>#DIV/0!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 t="e">
            <v>#DIV/0!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e">
            <v>#DIV/0!</v>
          </cell>
          <cell r="N85">
            <v>0</v>
          </cell>
          <cell r="O85" t="e">
            <v>#DIV/0!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 t="e">
            <v>#DIV/0!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e">
            <v>#DIV/0!</v>
          </cell>
          <cell r="N86">
            <v>0</v>
          </cell>
          <cell r="O86" t="e">
            <v>#DIV/0!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 t="e">
            <v>#DIV/0!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1D81-B342-DF4E-AA1A-BE8A069FD8D4}">
  <sheetPr codeName="Sheet1">
    <tabColor theme="1"/>
  </sheetPr>
  <dimension ref="A1:E93"/>
  <sheetViews>
    <sheetView workbookViewId="0">
      <selection activeCell="J13" sqref="J13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58" t="s">
        <v>546</v>
      </c>
    </row>
    <row r="2" spans="1:5" ht="16" x14ac:dyDescent="0.2">
      <c r="A2" s="13" t="s">
        <v>72</v>
      </c>
      <c r="B2" s="13" t="s">
        <v>73</v>
      </c>
      <c r="C2" s="13" t="s">
        <v>74</v>
      </c>
      <c r="D2" s="13" t="s">
        <v>75</v>
      </c>
      <c r="E2" s="13" t="s">
        <v>76</v>
      </c>
    </row>
    <row r="3" spans="1:5" ht="16" x14ac:dyDescent="0.2">
      <c r="A3" s="14" t="s">
        <v>185</v>
      </c>
      <c r="B3" s="15" t="s">
        <v>186</v>
      </c>
      <c r="C3" s="16">
        <v>112874</v>
      </c>
      <c r="D3" s="16">
        <v>39059198.149999164</v>
      </c>
      <c r="E3" s="17" t="s">
        <v>547</v>
      </c>
    </row>
    <row r="4" spans="1:5" ht="16" x14ac:dyDescent="0.2">
      <c r="A4" s="14" t="s">
        <v>77</v>
      </c>
      <c r="B4" s="15" t="s">
        <v>85</v>
      </c>
      <c r="C4" s="16">
        <v>3618</v>
      </c>
      <c r="D4" s="16">
        <v>1825624.5</v>
      </c>
      <c r="E4" s="17" t="s">
        <v>548</v>
      </c>
    </row>
    <row r="5" spans="1:5" ht="16" x14ac:dyDescent="0.2">
      <c r="A5" s="14" t="s">
        <v>79</v>
      </c>
      <c r="B5" s="15" t="s">
        <v>82</v>
      </c>
      <c r="C5" s="16">
        <v>3489</v>
      </c>
      <c r="D5" s="16">
        <v>1698672</v>
      </c>
      <c r="E5" s="17" t="s">
        <v>529</v>
      </c>
    </row>
    <row r="6" spans="1:5" ht="16" x14ac:dyDescent="0.2">
      <c r="A6" s="14" t="s">
        <v>81</v>
      </c>
      <c r="B6" s="15" t="s">
        <v>78</v>
      </c>
      <c r="C6" s="16">
        <v>4052</v>
      </c>
      <c r="D6" s="16">
        <v>1688582.5</v>
      </c>
      <c r="E6" s="17" t="s">
        <v>549</v>
      </c>
    </row>
    <row r="7" spans="1:5" ht="16" x14ac:dyDescent="0.2">
      <c r="A7" s="14" t="s">
        <v>83</v>
      </c>
      <c r="B7" s="15" t="s">
        <v>2</v>
      </c>
      <c r="C7" s="16">
        <v>3373</v>
      </c>
      <c r="D7" s="16">
        <v>1687356.5</v>
      </c>
      <c r="E7" s="17" t="s">
        <v>549</v>
      </c>
    </row>
    <row r="8" spans="1:5" ht="16" x14ac:dyDescent="0.2">
      <c r="A8" s="14" t="s">
        <v>84</v>
      </c>
      <c r="B8" s="15" t="s">
        <v>103</v>
      </c>
      <c r="C8" s="16">
        <v>3210</v>
      </c>
      <c r="D8" s="16">
        <v>1624899.8</v>
      </c>
      <c r="E8" s="17" t="s">
        <v>550</v>
      </c>
    </row>
    <row r="9" spans="1:5" ht="16" x14ac:dyDescent="0.2">
      <c r="A9" s="14" t="s">
        <v>86</v>
      </c>
      <c r="B9" s="15" t="s">
        <v>87</v>
      </c>
      <c r="C9" s="16">
        <v>3469</v>
      </c>
      <c r="D9" s="16">
        <v>1420659</v>
      </c>
      <c r="E9" s="17" t="s">
        <v>551</v>
      </c>
    </row>
    <row r="10" spans="1:5" ht="16" x14ac:dyDescent="0.2">
      <c r="A10" s="14" t="s">
        <v>187</v>
      </c>
      <c r="B10" s="15" t="s">
        <v>96</v>
      </c>
      <c r="C10" s="16">
        <v>3515</v>
      </c>
      <c r="D10" s="16">
        <v>1401769.2</v>
      </c>
      <c r="E10" s="17" t="s">
        <v>552</v>
      </c>
    </row>
    <row r="11" spans="1:5" ht="16" x14ac:dyDescent="0.2">
      <c r="A11" s="14" t="s">
        <v>89</v>
      </c>
      <c r="B11" s="15" t="s">
        <v>94</v>
      </c>
      <c r="C11" s="16">
        <v>3229</v>
      </c>
      <c r="D11" s="16">
        <v>1396363</v>
      </c>
      <c r="E11" s="17" t="s">
        <v>553</v>
      </c>
    </row>
    <row r="12" spans="1:5" ht="16" x14ac:dyDescent="0.2">
      <c r="A12" s="14" t="s">
        <v>91</v>
      </c>
      <c r="B12" s="15" t="s">
        <v>4</v>
      </c>
      <c r="C12" s="16">
        <v>2930</v>
      </c>
      <c r="D12" s="16">
        <v>1305153</v>
      </c>
      <c r="E12" s="17" t="s">
        <v>554</v>
      </c>
    </row>
    <row r="13" spans="1:5" ht="16" x14ac:dyDescent="0.2">
      <c r="A13" s="14" t="s">
        <v>177</v>
      </c>
      <c r="B13" s="15" t="s">
        <v>92</v>
      </c>
      <c r="C13" s="16">
        <v>2943</v>
      </c>
      <c r="D13" s="16">
        <v>1288663.46</v>
      </c>
      <c r="E13" s="17" t="s">
        <v>530</v>
      </c>
    </row>
    <row r="14" spans="1:5" ht="16" x14ac:dyDescent="0.2">
      <c r="A14" s="14" t="s">
        <v>93</v>
      </c>
      <c r="B14" s="15" t="s">
        <v>90</v>
      </c>
      <c r="C14" s="16">
        <v>2960</v>
      </c>
      <c r="D14" s="16">
        <v>1262257.5</v>
      </c>
      <c r="E14" s="17" t="s">
        <v>555</v>
      </c>
    </row>
    <row r="15" spans="1:5" ht="16" x14ac:dyDescent="0.2">
      <c r="A15" s="14" t="s">
        <v>95</v>
      </c>
      <c r="B15" s="15" t="s">
        <v>401</v>
      </c>
      <c r="C15" s="16">
        <v>2243</v>
      </c>
      <c r="D15" s="16">
        <v>1151596.5</v>
      </c>
      <c r="E15" s="17" t="s">
        <v>424</v>
      </c>
    </row>
    <row r="16" spans="1:5" ht="16" x14ac:dyDescent="0.2">
      <c r="A16" s="14" t="s">
        <v>97</v>
      </c>
      <c r="B16" s="15" t="s">
        <v>100</v>
      </c>
      <c r="C16" s="16">
        <v>2579</v>
      </c>
      <c r="D16" s="16">
        <v>1146033</v>
      </c>
      <c r="E16" s="17" t="s">
        <v>424</v>
      </c>
    </row>
    <row r="17" spans="1:5" ht="16" x14ac:dyDescent="0.2">
      <c r="A17" s="14" t="s">
        <v>178</v>
      </c>
      <c r="B17" s="15" t="s">
        <v>109</v>
      </c>
      <c r="C17" s="16">
        <v>2848</v>
      </c>
      <c r="D17" s="16">
        <v>1142845</v>
      </c>
      <c r="E17" s="17" t="s">
        <v>424</v>
      </c>
    </row>
    <row r="18" spans="1:5" ht="16" x14ac:dyDescent="0.2">
      <c r="A18" s="14" t="s">
        <v>99</v>
      </c>
      <c r="B18" s="15" t="s">
        <v>172</v>
      </c>
      <c r="C18" s="16">
        <v>2531</v>
      </c>
      <c r="D18" s="16">
        <v>1122575.8999999999</v>
      </c>
      <c r="E18" s="17" t="s">
        <v>531</v>
      </c>
    </row>
    <row r="19" spans="1:5" ht="16" x14ac:dyDescent="0.2">
      <c r="A19" s="14" t="s">
        <v>101</v>
      </c>
      <c r="B19" s="15" t="s">
        <v>98</v>
      </c>
      <c r="C19" s="16">
        <v>2531</v>
      </c>
      <c r="D19" s="16">
        <v>1118056.5</v>
      </c>
      <c r="E19" s="17" t="s">
        <v>496</v>
      </c>
    </row>
    <row r="20" spans="1:5" ht="16" x14ac:dyDescent="0.2">
      <c r="A20" s="14" t="s">
        <v>188</v>
      </c>
      <c r="B20" s="15" t="s">
        <v>252</v>
      </c>
      <c r="C20" s="16">
        <v>3143</v>
      </c>
      <c r="D20" s="16">
        <v>1108131.54</v>
      </c>
      <c r="E20" s="17" t="s">
        <v>502</v>
      </c>
    </row>
    <row r="21" spans="1:5" ht="16" x14ac:dyDescent="0.2">
      <c r="A21" s="14" t="s">
        <v>104</v>
      </c>
      <c r="B21" s="15" t="s">
        <v>118</v>
      </c>
      <c r="C21" s="16">
        <v>2521</v>
      </c>
      <c r="D21" s="16">
        <v>1105513</v>
      </c>
      <c r="E21" s="17" t="s">
        <v>502</v>
      </c>
    </row>
    <row r="22" spans="1:5" ht="16" x14ac:dyDescent="0.2">
      <c r="A22" s="14" t="s">
        <v>106</v>
      </c>
      <c r="B22" s="15" t="s">
        <v>174</v>
      </c>
      <c r="C22" s="16">
        <v>2536</v>
      </c>
      <c r="D22" s="16">
        <v>1041163</v>
      </c>
      <c r="E22" s="17" t="s">
        <v>532</v>
      </c>
    </row>
    <row r="23" spans="1:5" ht="16" x14ac:dyDescent="0.2">
      <c r="A23" s="14" t="s">
        <v>108</v>
      </c>
      <c r="B23" s="15" t="s">
        <v>88</v>
      </c>
      <c r="C23" s="16">
        <v>2147</v>
      </c>
      <c r="D23" s="16">
        <v>987146</v>
      </c>
      <c r="E23" s="17" t="s">
        <v>539</v>
      </c>
    </row>
    <row r="24" spans="1:5" ht="16" x14ac:dyDescent="0.2">
      <c r="A24" s="14" t="s">
        <v>179</v>
      </c>
      <c r="B24" s="15" t="s">
        <v>107</v>
      </c>
      <c r="C24" s="16">
        <v>1954</v>
      </c>
      <c r="D24" s="16">
        <v>978405</v>
      </c>
      <c r="E24" s="17" t="s">
        <v>428</v>
      </c>
    </row>
    <row r="25" spans="1:5" ht="16" x14ac:dyDescent="0.2">
      <c r="A25" s="14" t="s">
        <v>110</v>
      </c>
      <c r="B25" s="15" t="s">
        <v>114</v>
      </c>
      <c r="C25" s="16">
        <v>1929</v>
      </c>
      <c r="D25" s="16">
        <v>971482</v>
      </c>
      <c r="E25" s="17" t="s">
        <v>428</v>
      </c>
    </row>
    <row r="26" spans="1:5" ht="16" x14ac:dyDescent="0.2">
      <c r="A26" s="14" t="s">
        <v>112</v>
      </c>
      <c r="B26" s="15" t="s">
        <v>175</v>
      </c>
      <c r="C26" s="16">
        <v>2036</v>
      </c>
      <c r="D26" s="16">
        <v>957870</v>
      </c>
      <c r="E26" s="17" t="s">
        <v>379</v>
      </c>
    </row>
    <row r="27" spans="1:5" ht="16" x14ac:dyDescent="0.2">
      <c r="A27" s="14" t="s">
        <v>113</v>
      </c>
      <c r="B27" s="15" t="s">
        <v>246</v>
      </c>
      <c r="C27" s="16">
        <v>2646</v>
      </c>
      <c r="D27" s="16">
        <v>952367.5</v>
      </c>
      <c r="E27" s="17" t="s">
        <v>379</v>
      </c>
    </row>
    <row r="28" spans="1:5" ht="16" x14ac:dyDescent="0.2">
      <c r="A28" s="14" t="s">
        <v>115</v>
      </c>
      <c r="B28" s="15" t="s">
        <v>102</v>
      </c>
      <c r="C28" s="16">
        <v>2090</v>
      </c>
      <c r="D28" s="16">
        <v>947759.5</v>
      </c>
      <c r="E28" s="17" t="s">
        <v>533</v>
      </c>
    </row>
    <row r="29" spans="1:5" ht="16" x14ac:dyDescent="0.2">
      <c r="A29" s="14" t="s">
        <v>117</v>
      </c>
      <c r="B29" s="15" t="s">
        <v>208</v>
      </c>
      <c r="C29" s="16">
        <v>1893</v>
      </c>
      <c r="D29" s="16">
        <v>929701</v>
      </c>
      <c r="E29" s="17" t="s">
        <v>534</v>
      </c>
    </row>
    <row r="30" spans="1:5" ht="16" x14ac:dyDescent="0.2">
      <c r="A30" s="14" t="s">
        <v>119</v>
      </c>
      <c r="B30" s="15" t="s">
        <v>116</v>
      </c>
      <c r="C30" s="16">
        <v>1797</v>
      </c>
      <c r="D30" s="16">
        <v>924631.5</v>
      </c>
      <c r="E30" s="17" t="s">
        <v>458</v>
      </c>
    </row>
    <row r="31" spans="1:5" ht="16" x14ac:dyDescent="0.2">
      <c r="A31" s="14" t="s">
        <v>120</v>
      </c>
      <c r="B31" s="15" t="s">
        <v>45</v>
      </c>
      <c r="C31" s="16">
        <v>2038</v>
      </c>
      <c r="D31" s="16">
        <v>914076</v>
      </c>
      <c r="E31" s="17" t="s">
        <v>402</v>
      </c>
    </row>
    <row r="32" spans="1:5" ht="16" x14ac:dyDescent="0.2">
      <c r="A32" s="14" t="s">
        <v>122</v>
      </c>
      <c r="B32" s="15" t="s">
        <v>130</v>
      </c>
      <c r="C32" s="16">
        <v>2052</v>
      </c>
      <c r="D32" s="16">
        <v>884333</v>
      </c>
      <c r="E32" s="17" t="s">
        <v>518</v>
      </c>
    </row>
    <row r="33" spans="1:5" ht="16" x14ac:dyDescent="0.2">
      <c r="A33" s="14" t="s">
        <v>124</v>
      </c>
      <c r="B33" s="15" t="s">
        <v>132</v>
      </c>
      <c r="C33" s="16">
        <v>1569</v>
      </c>
      <c r="D33" s="16">
        <v>881171</v>
      </c>
      <c r="E33" s="17" t="s">
        <v>518</v>
      </c>
    </row>
    <row r="34" spans="1:5" ht="16" x14ac:dyDescent="0.2">
      <c r="A34" s="14" t="s">
        <v>126</v>
      </c>
      <c r="B34" s="15" t="s">
        <v>1</v>
      </c>
      <c r="C34" s="16">
        <v>1692</v>
      </c>
      <c r="D34" s="16">
        <v>872143.25</v>
      </c>
      <c r="E34" s="17" t="s">
        <v>407</v>
      </c>
    </row>
    <row r="35" spans="1:5" ht="16" x14ac:dyDescent="0.2">
      <c r="A35" s="14" t="s">
        <v>190</v>
      </c>
      <c r="B35" s="15" t="s">
        <v>123</v>
      </c>
      <c r="C35" s="16">
        <v>2075</v>
      </c>
      <c r="D35" s="16">
        <v>868644.6</v>
      </c>
      <c r="E35" s="17" t="s">
        <v>407</v>
      </c>
    </row>
    <row r="36" spans="1:5" ht="16" x14ac:dyDescent="0.2">
      <c r="A36" s="14" t="s">
        <v>128</v>
      </c>
      <c r="B36" s="15" t="s">
        <v>111</v>
      </c>
      <c r="C36" s="16">
        <v>2067</v>
      </c>
      <c r="D36" s="16">
        <v>867796</v>
      </c>
      <c r="E36" s="17" t="s">
        <v>489</v>
      </c>
    </row>
    <row r="37" spans="1:5" ht="16" x14ac:dyDescent="0.2">
      <c r="A37" s="14" t="s">
        <v>191</v>
      </c>
      <c r="B37" s="15" t="s">
        <v>134</v>
      </c>
      <c r="C37" s="16">
        <v>2472</v>
      </c>
      <c r="D37" s="16">
        <v>864823.5</v>
      </c>
      <c r="E37" s="17" t="s">
        <v>489</v>
      </c>
    </row>
    <row r="38" spans="1:5" ht="16" x14ac:dyDescent="0.2">
      <c r="A38" s="14" t="s">
        <v>131</v>
      </c>
      <c r="B38" s="15" t="s">
        <v>5</v>
      </c>
      <c r="C38" s="16">
        <v>1866</v>
      </c>
      <c r="D38" s="16">
        <v>844419</v>
      </c>
      <c r="E38" s="17" t="s">
        <v>474</v>
      </c>
    </row>
    <row r="39" spans="1:5" ht="16" x14ac:dyDescent="0.2">
      <c r="A39" s="14" t="s">
        <v>133</v>
      </c>
      <c r="B39" s="15" t="s">
        <v>3</v>
      </c>
      <c r="C39" s="16">
        <v>2253</v>
      </c>
      <c r="D39" s="16">
        <v>831565</v>
      </c>
      <c r="E39" s="17" t="s">
        <v>460</v>
      </c>
    </row>
    <row r="40" spans="1:5" ht="16" x14ac:dyDescent="0.2">
      <c r="A40" s="14" t="s">
        <v>135</v>
      </c>
      <c r="B40" s="15" t="s">
        <v>140</v>
      </c>
      <c r="C40" s="16">
        <v>1851</v>
      </c>
      <c r="D40" s="16">
        <v>825230.11</v>
      </c>
      <c r="E40" s="17" t="s">
        <v>434</v>
      </c>
    </row>
    <row r="41" spans="1:5" ht="16" x14ac:dyDescent="0.2">
      <c r="A41" s="14" t="s">
        <v>137</v>
      </c>
      <c r="B41" s="15" t="s">
        <v>125</v>
      </c>
      <c r="C41" s="16">
        <v>1710</v>
      </c>
      <c r="D41" s="16">
        <v>818065</v>
      </c>
      <c r="E41" s="17" t="s">
        <v>434</v>
      </c>
    </row>
    <row r="42" spans="1:5" ht="16" x14ac:dyDescent="0.2">
      <c r="A42" s="14" t="s">
        <v>139</v>
      </c>
      <c r="B42" s="15" t="s">
        <v>121</v>
      </c>
      <c r="C42" s="16">
        <v>1704</v>
      </c>
      <c r="D42" s="16">
        <v>808176.7</v>
      </c>
      <c r="E42" s="17" t="s">
        <v>365</v>
      </c>
    </row>
    <row r="43" spans="1:5" ht="16" x14ac:dyDescent="0.2">
      <c r="A43" s="14" t="s">
        <v>141</v>
      </c>
      <c r="B43" s="15" t="s">
        <v>44</v>
      </c>
      <c r="C43" s="16">
        <v>3007</v>
      </c>
      <c r="D43" s="16">
        <v>800460</v>
      </c>
      <c r="E43" s="17" t="s">
        <v>520</v>
      </c>
    </row>
    <row r="44" spans="1:5" ht="16" x14ac:dyDescent="0.2">
      <c r="A44" s="14" t="s">
        <v>142</v>
      </c>
      <c r="B44" s="15" t="s">
        <v>206</v>
      </c>
      <c r="C44" s="16">
        <v>1778</v>
      </c>
      <c r="D44" s="16">
        <v>795136</v>
      </c>
      <c r="E44" s="17" t="s">
        <v>417</v>
      </c>
    </row>
    <row r="45" spans="1:5" ht="16" x14ac:dyDescent="0.2">
      <c r="A45" s="14" t="s">
        <v>144</v>
      </c>
      <c r="B45" s="15" t="s">
        <v>414</v>
      </c>
      <c r="C45" s="16">
        <v>2454</v>
      </c>
      <c r="D45" s="16">
        <v>771771</v>
      </c>
      <c r="E45" s="17" t="s">
        <v>521</v>
      </c>
    </row>
    <row r="46" spans="1:5" ht="16" x14ac:dyDescent="0.2">
      <c r="A46" s="14" t="s">
        <v>146</v>
      </c>
      <c r="B46" s="15" t="s">
        <v>463</v>
      </c>
      <c r="C46" s="16">
        <v>13</v>
      </c>
      <c r="D46" s="16">
        <v>766650</v>
      </c>
      <c r="E46" s="17" t="s">
        <v>429</v>
      </c>
    </row>
    <row r="47" spans="1:5" ht="16" x14ac:dyDescent="0.2">
      <c r="A47" s="14" t="s">
        <v>180</v>
      </c>
      <c r="B47" s="15" t="s">
        <v>129</v>
      </c>
      <c r="C47" s="16">
        <v>1806</v>
      </c>
      <c r="D47" s="16">
        <v>743511</v>
      </c>
      <c r="E47" s="17" t="s">
        <v>385</v>
      </c>
    </row>
    <row r="48" spans="1:5" ht="16" x14ac:dyDescent="0.2">
      <c r="A48" s="14" t="s">
        <v>147</v>
      </c>
      <c r="B48" s="15" t="s">
        <v>143</v>
      </c>
      <c r="C48" s="16">
        <v>1734</v>
      </c>
      <c r="D48" s="16">
        <v>724072</v>
      </c>
      <c r="E48" s="17" t="s">
        <v>412</v>
      </c>
    </row>
    <row r="49" spans="1:5" ht="16" x14ac:dyDescent="0.2">
      <c r="A49" s="14" t="s">
        <v>149</v>
      </c>
      <c r="B49" s="15" t="s">
        <v>415</v>
      </c>
      <c r="C49" s="16">
        <v>2245</v>
      </c>
      <c r="D49" s="16">
        <v>719682</v>
      </c>
      <c r="E49" s="17" t="s">
        <v>412</v>
      </c>
    </row>
    <row r="50" spans="1:5" ht="16" x14ac:dyDescent="0.2">
      <c r="A50" s="14" t="s">
        <v>150</v>
      </c>
      <c r="B50" s="15" t="s">
        <v>151</v>
      </c>
      <c r="C50" s="16">
        <v>1398</v>
      </c>
      <c r="D50" s="16">
        <v>682325.5</v>
      </c>
      <c r="E50" s="17" t="s">
        <v>447</v>
      </c>
    </row>
    <row r="51" spans="1:5" ht="16" x14ac:dyDescent="0.2">
      <c r="A51" s="14" t="s">
        <v>152</v>
      </c>
      <c r="B51" s="15" t="s">
        <v>138</v>
      </c>
      <c r="C51" s="16">
        <v>1550</v>
      </c>
      <c r="D51" s="16">
        <v>661468</v>
      </c>
      <c r="E51" s="17" t="s">
        <v>404</v>
      </c>
    </row>
    <row r="52" spans="1:5" ht="16" x14ac:dyDescent="0.2">
      <c r="A52" s="14" t="s">
        <v>153</v>
      </c>
      <c r="B52" s="15" t="s">
        <v>43</v>
      </c>
      <c r="C52" s="16">
        <v>2460</v>
      </c>
      <c r="D52" s="16">
        <v>657017</v>
      </c>
      <c r="E52" s="17" t="s">
        <v>404</v>
      </c>
    </row>
    <row r="53" spans="1:5" ht="16" x14ac:dyDescent="0.2">
      <c r="A53" s="14" t="s">
        <v>155</v>
      </c>
      <c r="B53" s="15" t="s">
        <v>127</v>
      </c>
      <c r="C53" s="16">
        <v>1460</v>
      </c>
      <c r="D53" s="16">
        <v>645269</v>
      </c>
      <c r="E53" s="17" t="s">
        <v>293</v>
      </c>
    </row>
    <row r="54" spans="1:5" ht="16" x14ac:dyDescent="0.2">
      <c r="A54" s="14" t="s">
        <v>157</v>
      </c>
      <c r="B54" s="15" t="s">
        <v>189</v>
      </c>
      <c r="C54" s="16">
        <v>32</v>
      </c>
      <c r="D54" s="16">
        <v>640830</v>
      </c>
      <c r="E54" s="17" t="s">
        <v>466</v>
      </c>
    </row>
    <row r="55" spans="1:5" ht="16" x14ac:dyDescent="0.2">
      <c r="A55" s="14" t="s">
        <v>192</v>
      </c>
      <c r="B55" s="15" t="s">
        <v>145</v>
      </c>
      <c r="C55" s="16">
        <v>1599</v>
      </c>
      <c r="D55" s="16">
        <v>639916</v>
      </c>
      <c r="E55" s="17" t="s">
        <v>466</v>
      </c>
    </row>
    <row r="56" spans="1:5" ht="16" x14ac:dyDescent="0.2">
      <c r="A56" s="14" t="s">
        <v>159</v>
      </c>
      <c r="B56" s="15" t="s">
        <v>136</v>
      </c>
      <c r="C56" s="16">
        <v>1197</v>
      </c>
      <c r="D56" s="16">
        <v>613787</v>
      </c>
      <c r="E56" s="17" t="s">
        <v>475</v>
      </c>
    </row>
    <row r="57" spans="1:5" ht="16" x14ac:dyDescent="0.2">
      <c r="A57" s="14" t="s">
        <v>160</v>
      </c>
      <c r="B57" s="15" t="s">
        <v>148</v>
      </c>
      <c r="C57" s="16">
        <v>1493</v>
      </c>
      <c r="D57" s="16">
        <v>556534</v>
      </c>
      <c r="E57" s="17" t="s">
        <v>333</v>
      </c>
    </row>
    <row r="58" spans="1:5" ht="16" x14ac:dyDescent="0.2">
      <c r="A58" s="14" t="s">
        <v>193</v>
      </c>
      <c r="B58" s="15" t="s">
        <v>173</v>
      </c>
      <c r="C58" s="16">
        <v>1163</v>
      </c>
      <c r="D58" s="16">
        <v>554429</v>
      </c>
      <c r="E58" s="17" t="s">
        <v>333</v>
      </c>
    </row>
    <row r="59" spans="1:5" ht="16" x14ac:dyDescent="0.2">
      <c r="A59" s="14" t="s">
        <v>162</v>
      </c>
      <c r="B59" s="15" t="s">
        <v>501</v>
      </c>
      <c r="C59" s="16">
        <v>1702</v>
      </c>
      <c r="D59" s="16">
        <v>494594</v>
      </c>
      <c r="E59" s="17" t="s">
        <v>522</v>
      </c>
    </row>
    <row r="60" spans="1:5" ht="16" x14ac:dyDescent="0.2">
      <c r="A60" s="14" t="s">
        <v>194</v>
      </c>
      <c r="B60" s="15" t="s">
        <v>243</v>
      </c>
      <c r="C60" s="16">
        <v>1120</v>
      </c>
      <c r="D60" s="16">
        <v>492238.8</v>
      </c>
      <c r="E60" s="17" t="s">
        <v>426</v>
      </c>
    </row>
    <row r="61" spans="1:5" ht="16" x14ac:dyDescent="0.2">
      <c r="A61" s="14" t="s">
        <v>163</v>
      </c>
      <c r="B61" s="15" t="s">
        <v>290</v>
      </c>
      <c r="C61" s="16">
        <v>1306</v>
      </c>
      <c r="D61" s="16">
        <v>483518.38999999996</v>
      </c>
      <c r="E61" s="17" t="s">
        <v>426</v>
      </c>
    </row>
    <row r="62" spans="1:5" ht="16" x14ac:dyDescent="0.2">
      <c r="A62" s="14" t="s">
        <v>164</v>
      </c>
      <c r="B62" s="15" t="s">
        <v>80</v>
      </c>
      <c r="C62" s="16">
        <v>1015</v>
      </c>
      <c r="D62" s="16">
        <v>483471</v>
      </c>
      <c r="E62" s="17" t="s">
        <v>426</v>
      </c>
    </row>
    <row r="63" spans="1:5" ht="16" x14ac:dyDescent="0.2">
      <c r="A63" s="14" t="s">
        <v>165</v>
      </c>
      <c r="B63" s="15" t="s">
        <v>156</v>
      </c>
      <c r="C63" s="16">
        <v>1010</v>
      </c>
      <c r="D63" s="16">
        <v>474366</v>
      </c>
      <c r="E63" s="17" t="s">
        <v>381</v>
      </c>
    </row>
    <row r="64" spans="1:5" ht="16" x14ac:dyDescent="0.2">
      <c r="A64" s="14" t="s">
        <v>166</v>
      </c>
      <c r="B64" s="15" t="s">
        <v>46</v>
      </c>
      <c r="C64" s="16">
        <v>1176</v>
      </c>
      <c r="D64" s="16">
        <v>463178</v>
      </c>
      <c r="E64" s="17" t="s">
        <v>336</v>
      </c>
    </row>
    <row r="65" spans="1:5" ht="16" x14ac:dyDescent="0.2">
      <c r="A65" s="14" t="s">
        <v>195</v>
      </c>
      <c r="B65" s="15" t="s">
        <v>369</v>
      </c>
      <c r="C65" s="16">
        <v>1226</v>
      </c>
      <c r="D65" s="16">
        <v>461001</v>
      </c>
      <c r="E65" s="17" t="s">
        <v>340</v>
      </c>
    </row>
    <row r="66" spans="1:5" ht="16" x14ac:dyDescent="0.2">
      <c r="A66" s="14" t="s">
        <v>167</v>
      </c>
      <c r="B66" s="15" t="s">
        <v>47</v>
      </c>
      <c r="C66" s="16">
        <v>1135</v>
      </c>
      <c r="D66" s="16">
        <v>429532</v>
      </c>
      <c r="E66" s="17" t="s">
        <v>523</v>
      </c>
    </row>
    <row r="67" spans="1:5" ht="16" x14ac:dyDescent="0.2">
      <c r="A67" s="14" t="s">
        <v>181</v>
      </c>
      <c r="B67" s="15" t="s">
        <v>183</v>
      </c>
      <c r="C67" s="16">
        <v>1029</v>
      </c>
      <c r="D67" s="16">
        <v>402688</v>
      </c>
      <c r="E67" s="17" t="s">
        <v>433</v>
      </c>
    </row>
    <row r="68" spans="1:5" ht="16" x14ac:dyDescent="0.2">
      <c r="A68" s="14" t="s">
        <v>168</v>
      </c>
      <c r="B68" s="15" t="s">
        <v>158</v>
      </c>
      <c r="C68" s="16">
        <v>931</v>
      </c>
      <c r="D68" s="16">
        <v>374592</v>
      </c>
      <c r="E68" s="17" t="s">
        <v>430</v>
      </c>
    </row>
    <row r="69" spans="1:5" ht="16" x14ac:dyDescent="0.2">
      <c r="A69" s="14" t="s">
        <v>182</v>
      </c>
      <c r="B69" s="15" t="s">
        <v>438</v>
      </c>
      <c r="C69" s="16">
        <v>1139</v>
      </c>
      <c r="D69" s="16">
        <v>370216</v>
      </c>
      <c r="E69" s="17" t="s">
        <v>427</v>
      </c>
    </row>
    <row r="70" spans="1:5" ht="16" x14ac:dyDescent="0.2">
      <c r="A70" s="14" t="s">
        <v>184</v>
      </c>
      <c r="B70" s="15" t="s">
        <v>161</v>
      </c>
      <c r="C70" s="16">
        <v>882</v>
      </c>
      <c r="D70" s="16">
        <v>368727</v>
      </c>
      <c r="E70" s="17" t="s">
        <v>427</v>
      </c>
    </row>
    <row r="71" spans="1:5" ht="16" x14ac:dyDescent="0.2">
      <c r="A71" s="14" t="s">
        <v>199</v>
      </c>
      <c r="B71" s="15" t="s">
        <v>196</v>
      </c>
      <c r="C71" s="16">
        <v>765</v>
      </c>
      <c r="D71" s="16">
        <v>365093</v>
      </c>
      <c r="E71" s="17" t="s">
        <v>427</v>
      </c>
    </row>
    <row r="72" spans="1:5" ht="16" x14ac:dyDescent="0.2">
      <c r="A72" s="14" t="s">
        <v>200</v>
      </c>
      <c r="B72" s="15" t="s">
        <v>154</v>
      </c>
      <c r="C72" s="16">
        <v>825</v>
      </c>
      <c r="D72" s="16">
        <v>362155</v>
      </c>
      <c r="E72" s="17" t="s">
        <v>427</v>
      </c>
    </row>
    <row r="73" spans="1:5" ht="16" x14ac:dyDescent="0.2">
      <c r="A73" s="14" t="s">
        <v>209</v>
      </c>
      <c r="B73" s="15" t="s">
        <v>408</v>
      </c>
      <c r="C73" s="16">
        <v>881</v>
      </c>
      <c r="D73" s="16">
        <v>348541</v>
      </c>
      <c r="E73" s="17" t="s">
        <v>282</v>
      </c>
    </row>
    <row r="74" spans="1:5" ht="16" x14ac:dyDescent="0.2">
      <c r="A74" s="14" t="s">
        <v>210</v>
      </c>
      <c r="B74" s="15" t="s">
        <v>283</v>
      </c>
      <c r="C74" s="16">
        <v>633</v>
      </c>
      <c r="D74" s="16">
        <v>295438.99999999994</v>
      </c>
      <c r="E74" s="17" t="s">
        <v>540</v>
      </c>
    </row>
    <row r="75" spans="1:5" ht="16" x14ac:dyDescent="0.2">
      <c r="A75" s="14" t="s">
        <v>211</v>
      </c>
      <c r="B75" s="15" t="s">
        <v>284</v>
      </c>
      <c r="C75" s="16">
        <v>823</v>
      </c>
      <c r="D75" s="16">
        <v>288491</v>
      </c>
      <c r="E75" s="17" t="s">
        <v>519</v>
      </c>
    </row>
    <row r="76" spans="1:5" ht="16" x14ac:dyDescent="0.2">
      <c r="A76" s="14" t="s">
        <v>215</v>
      </c>
      <c r="B76" s="15" t="s">
        <v>203</v>
      </c>
      <c r="C76" s="16">
        <v>931</v>
      </c>
      <c r="D76" s="16">
        <v>277739</v>
      </c>
      <c r="E76" s="17" t="s">
        <v>461</v>
      </c>
    </row>
    <row r="77" spans="1:5" ht="16" x14ac:dyDescent="0.2">
      <c r="A77" s="14" t="s">
        <v>216</v>
      </c>
      <c r="B77" s="15" t="s">
        <v>238</v>
      </c>
      <c r="C77" s="16">
        <v>196</v>
      </c>
      <c r="D77" s="16">
        <v>197462</v>
      </c>
      <c r="E77" s="17" t="s">
        <v>541</v>
      </c>
    </row>
    <row r="78" spans="1:5" ht="16" x14ac:dyDescent="0.2">
      <c r="A78" s="14" t="s">
        <v>244</v>
      </c>
      <c r="B78" s="15" t="s">
        <v>6</v>
      </c>
      <c r="C78" s="16">
        <v>483</v>
      </c>
      <c r="D78" s="16">
        <v>190313</v>
      </c>
      <c r="E78" s="17" t="s">
        <v>541</v>
      </c>
    </row>
    <row r="79" spans="1:5" ht="16" x14ac:dyDescent="0.2">
      <c r="A79" s="14" t="s">
        <v>245</v>
      </c>
      <c r="B79" s="15" t="s">
        <v>450</v>
      </c>
      <c r="C79" s="16">
        <v>140</v>
      </c>
      <c r="D79" s="16">
        <v>185900</v>
      </c>
      <c r="E79" s="17" t="s">
        <v>490</v>
      </c>
    </row>
    <row r="80" spans="1:5" ht="16" x14ac:dyDescent="0.2">
      <c r="A80" s="14" t="s">
        <v>295</v>
      </c>
      <c r="B80" s="15" t="s">
        <v>7</v>
      </c>
      <c r="C80" s="16">
        <v>627</v>
      </c>
      <c r="D80" s="16">
        <v>184214</v>
      </c>
      <c r="E80" s="17" t="s">
        <v>490</v>
      </c>
    </row>
    <row r="81" spans="1:5" ht="16" x14ac:dyDescent="0.2">
      <c r="A81" s="14" t="s">
        <v>296</v>
      </c>
      <c r="B81" s="15" t="s">
        <v>464</v>
      </c>
      <c r="C81" s="16">
        <v>206</v>
      </c>
      <c r="D81" s="16">
        <v>114046</v>
      </c>
      <c r="E81" s="17" t="s">
        <v>439</v>
      </c>
    </row>
    <row r="82" spans="1:5" ht="16" x14ac:dyDescent="0.2">
      <c r="A82" s="14" t="s">
        <v>297</v>
      </c>
      <c r="B82" s="15" t="s">
        <v>372</v>
      </c>
      <c r="C82" s="16">
        <v>371</v>
      </c>
      <c r="D82" s="16">
        <v>111218</v>
      </c>
      <c r="E82" s="17" t="s">
        <v>439</v>
      </c>
    </row>
    <row r="83" spans="1:5" ht="16" x14ac:dyDescent="0.2">
      <c r="A83" s="14" t="s">
        <v>298</v>
      </c>
      <c r="B83" s="15" t="s">
        <v>535</v>
      </c>
      <c r="C83" s="16">
        <v>278</v>
      </c>
      <c r="D83" s="16">
        <v>103588</v>
      </c>
      <c r="E83" s="17" t="s">
        <v>487</v>
      </c>
    </row>
    <row r="84" spans="1:5" ht="16" x14ac:dyDescent="0.2">
      <c r="A84" s="14" t="s">
        <v>299</v>
      </c>
      <c r="B84" s="15" t="s">
        <v>368</v>
      </c>
      <c r="C84" s="16">
        <v>179</v>
      </c>
      <c r="D84" s="16">
        <v>55270</v>
      </c>
      <c r="E84" s="17" t="s">
        <v>492</v>
      </c>
    </row>
    <row r="85" spans="1:5" ht="16" x14ac:dyDescent="0.2">
      <c r="A85" s="14" t="s">
        <v>307</v>
      </c>
      <c r="B85" s="15" t="s">
        <v>465</v>
      </c>
      <c r="C85" s="16">
        <v>72</v>
      </c>
      <c r="D85" s="16">
        <v>45080</v>
      </c>
      <c r="E85" s="17" t="s">
        <v>525</v>
      </c>
    </row>
    <row r="86" spans="1:5" ht="16" x14ac:dyDescent="0.2">
      <c r="A86" s="14" t="s">
        <v>312</v>
      </c>
      <c r="B86" s="15" t="s">
        <v>486</v>
      </c>
      <c r="C86" s="16">
        <v>1</v>
      </c>
      <c r="D86" s="16">
        <v>23270</v>
      </c>
      <c r="E86" s="17" t="s">
        <v>423</v>
      </c>
    </row>
    <row r="87" spans="1:5" ht="16" x14ac:dyDescent="0.2">
      <c r="A87" s="14" t="s">
        <v>313</v>
      </c>
      <c r="B87" s="15" t="s">
        <v>543</v>
      </c>
      <c r="C87" s="16">
        <v>74</v>
      </c>
      <c r="D87" s="16">
        <v>22947</v>
      </c>
      <c r="E87" s="17" t="s">
        <v>423</v>
      </c>
    </row>
    <row r="88" spans="1:5" ht="16" x14ac:dyDescent="0.2">
      <c r="A88" s="14" t="s">
        <v>331</v>
      </c>
      <c r="B88" s="15" t="s">
        <v>332</v>
      </c>
      <c r="C88" s="16">
        <v>71</v>
      </c>
      <c r="D88" s="16">
        <v>17806</v>
      </c>
      <c r="E88" s="17" t="s">
        <v>423</v>
      </c>
    </row>
    <row r="89" spans="1:5" ht="16" x14ac:dyDescent="0.2">
      <c r="A89" s="14" t="s">
        <v>349</v>
      </c>
      <c r="B89" s="15" t="s">
        <v>488</v>
      </c>
      <c r="C89" s="16">
        <v>-1</v>
      </c>
      <c r="D89" s="16">
        <v>-8283.6</v>
      </c>
      <c r="E89" s="17" t="s">
        <v>462</v>
      </c>
    </row>
    <row r="90" spans="1:5" ht="16" x14ac:dyDescent="0.2">
      <c r="A90" s="14" t="s">
        <v>350</v>
      </c>
      <c r="B90" s="15" t="s">
        <v>230</v>
      </c>
      <c r="C90" s="16">
        <v>-1400</v>
      </c>
      <c r="D90" s="16">
        <v>-417422.21999999991</v>
      </c>
      <c r="E90" s="17" t="s">
        <v>556</v>
      </c>
    </row>
    <row r="92" spans="1:5" ht="16" x14ac:dyDescent="0.2">
      <c r="B92" s="14" t="s">
        <v>169</v>
      </c>
      <c r="C92" s="18" t="s">
        <v>170</v>
      </c>
    </row>
    <row r="93" spans="1:5" ht="16" x14ac:dyDescent="0.2">
      <c r="B93" s="14" t="s">
        <v>171</v>
      </c>
      <c r="C93" s="18" t="s">
        <v>576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4724-EF75-E74B-96F6-0CAD014CA6F5}">
  <sheetPr codeName="Sheet3">
    <tabColor theme="1"/>
  </sheetPr>
  <dimension ref="A1:E110"/>
  <sheetViews>
    <sheetView workbookViewId="0">
      <selection activeCell="H9" sqref="H9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58" t="s">
        <v>562</v>
      </c>
    </row>
    <row r="2" spans="1:5" ht="16" x14ac:dyDescent="0.2">
      <c r="A2" s="13" t="s">
        <v>72</v>
      </c>
      <c r="B2" s="13" t="s">
        <v>73</v>
      </c>
      <c r="C2" s="13" t="s">
        <v>74</v>
      </c>
      <c r="D2" s="13" t="s">
        <v>75</v>
      </c>
      <c r="E2" s="13" t="s">
        <v>76</v>
      </c>
    </row>
    <row r="3" spans="1:5" ht="16" x14ac:dyDescent="0.2">
      <c r="A3" s="14" t="s">
        <v>185</v>
      </c>
      <c r="B3" s="15" t="s">
        <v>186</v>
      </c>
      <c r="C3" s="16">
        <v>188622</v>
      </c>
      <c r="D3" s="16">
        <v>63798575.870001577</v>
      </c>
      <c r="E3" s="17" t="s">
        <v>563</v>
      </c>
    </row>
    <row r="4" spans="1:5" ht="16" x14ac:dyDescent="0.2">
      <c r="A4" s="14" t="s">
        <v>77</v>
      </c>
      <c r="B4" s="15" t="s">
        <v>94</v>
      </c>
      <c r="C4" s="16">
        <v>7663</v>
      </c>
      <c r="D4" s="16">
        <v>2719550.5</v>
      </c>
      <c r="E4" s="17" t="s">
        <v>564</v>
      </c>
    </row>
    <row r="5" spans="1:5" ht="16" x14ac:dyDescent="0.2">
      <c r="A5" s="14" t="s">
        <v>79</v>
      </c>
      <c r="B5" s="15" t="s">
        <v>103</v>
      </c>
      <c r="C5" s="16">
        <v>4325</v>
      </c>
      <c r="D5" s="16">
        <v>2162196</v>
      </c>
      <c r="E5" s="17" t="s">
        <v>495</v>
      </c>
    </row>
    <row r="6" spans="1:5" ht="16" x14ac:dyDescent="0.2">
      <c r="A6" s="14" t="s">
        <v>81</v>
      </c>
      <c r="B6" s="15" t="s">
        <v>78</v>
      </c>
      <c r="C6" s="16">
        <v>4199</v>
      </c>
      <c r="D6" s="16">
        <v>2122760</v>
      </c>
      <c r="E6" s="17" t="s">
        <v>565</v>
      </c>
    </row>
    <row r="7" spans="1:5" ht="16" x14ac:dyDescent="0.2">
      <c r="A7" s="14" t="s">
        <v>83</v>
      </c>
      <c r="B7" s="15" t="s">
        <v>82</v>
      </c>
      <c r="C7" s="16">
        <v>4026</v>
      </c>
      <c r="D7" s="16">
        <v>2076950.5</v>
      </c>
      <c r="E7" s="17" t="s">
        <v>552</v>
      </c>
    </row>
    <row r="8" spans="1:5" ht="16" x14ac:dyDescent="0.2">
      <c r="A8" s="14" t="s">
        <v>84</v>
      </c>
      <c r="B8" s="15" t="s">
        <v>85</v>
      </c>
      <c r="C8" s="16">
        <v>4036</v>
      </c>
      <c r="D8" s="16">
        <v>2064026</v>
      </c>
      <c r="E8" s="17" t="s">
        <v>552</v>
      </c>
    </row>
    <row r="9" spans="1:5" ht="16" x14ac:dyDescent="0.2">
      <c r="A9" s="14" t="s">
        <v>86</v>
      </c>
      <c r="B9" s="15" t="s">
        <v>347</v>
      </c>
      <c r="C9" s="16">
        <v>3948</v>
      </c>
      <c r="D9" s="16">
        <v>1911703.5</v>
      </c>
      <c r="E9" s="17" t="s">
        <v>530</v>
      </c>
    </row>
    <row r="10" spans="1:5" ht="16" x14ac:dyDescent="0.2">
      <c r="A10" s="14" t="s">
        <v>187</v>
      </c>
      <c r="B10" s="15" t="s">
        <v>2</v>
      </c>
      <c r="C10" s="16">
        <v>3704</v>
      </c>
      <c r="D10" s="16">
        <v>1883097.5</v>
      </c>
      <c r="E10" s="17" t="s">
        <v>566</v>
      </c>
    </row>
    <row r="11" spans="1:5" ht="16" x14ac:dyDescent="0.2">
      <c r="A11" s="14" t="s">
        <v>89</v>
      </c>
      <c r="B11" s="15" t="s">
        <v>172</v>
      </c>
      <c r="C11" s="16">
        <v>3517</v>
      </c>
      <c r="D11" s="16">
        <v>1740017.5</v>
      </c>
      <c r="E11" s="17" t="s">
        <v>567</v>
      </c>
    </row>
    <row r="12" spans="1:5" ht="16" x14ac:dyDescent="0.2">
      <c r="A12" s="14" t="s">
        <v>91</v>
      </c>
      <c r="B12" s="15" t="s">
        <v>111</v>
      </c>
      <c r="C12" s="16">
        <v>3590</v>
      </c>
      <c r="D12" s="16">
        <v>1658515.5</v>
      </c>
      <c r="E12" s="17" t="s">
        <v>496</v>
      </c>
    </row>
    <row r="13" spans="1:5" ht="16" x14ac:dyDescent="0.2">
      <c r="A13" s="14" t="s">
        <v>177</v>
      </c>
      <c r="B13" s="15" t="s">
        <v>90</v>
      </c>
      <c r="C13" s="16">
        <v>3420</v>
      </c>
      <c r="D13" s="16">
        <v>1657555</v>
      </c>
      <c r="E13" s="17" t="s">
        <v>496</v>
      </c>
    </row>
    <row r="14" spans="1:5" ht="16" x14ac:dyDescent="0.2">
      <c r="A14" s="14" t="s">
        <v>93</v>
      </c>
      <c r="B14" s="15" t="s">
        <v>114</v>
      </c>
      <c r="C14" s="16">
        <v>3186</v>
      </c>
      <c r="D14" s="16">
        <v>1587012.43</v>
      </c>
      <c r="E14" s="17" t="s">
        <v>568</v>
      </c>
    </row>
    <row r="15" spans="1:5" ht="16" x14ac:dyDescent="0.2">
      <c r="A15" s="14" t="s">
        <v>95</v>
      </c>
      <c r="B15" s="15" t="s">
        <v>87</v>
      </c>
      <c r="C15" s="16">
        <v>3365</v>
      </c>
      <c r="D15" s="16">
        <v>1577378.5</v>
      </c>
      <c r="E15" s="17" t="s">
        <v>538</v>
      </c>
    </row>
    <row r="16" spans="1:5" ht="16" x14ac:dyDescent="0.2">
      <c r="A16" s="14" t="s">
        <v>97</v>
      </c>
      <c r="B16" s="15" t="s">
        <v>4</v>
      </c>
      <c r="C16" s="16">
        <v>3231</v>
      </c>
      <c r="D16" s="16">
        <v>1485188</v>
      </c>
      <c r="E16" s="17" t="s">
        <v>569</v>
      </c>
    </row>
    <row r="17" spans="1:5" ht="16" x14ac:dyDescent="0.2">
      <c r="A17" s="14" t="s">
        <v>178</v>
      </c>
      <c r="B17" s="15" t="s">
        <v>246</v>
      </c>
      <c r="C17" s="16">
        <v>3837</v>
      </c>
      <c r="D17" s="16">
        <v>1474698</v>
      </c>
      <c r="E17" s="17" t="s">
        <v>497</v>
      </c>
    </row>
    <row r="18" spans="1:5" ht="16" x14ac:dyDescent="0.2">
      <c r="A18" s="14" t="s">
        <v>99</v>
      </c>
      <c r="B18" s="15" t="s">
        <v>96</v>
      </c>
      <c r="C18" s="16">
        <v>2867</v>
      </c>
      <c r="D18" s="16">
        <v>1396841.5</v>
      </c>
      <c r="E18" s="17" t="s">
        <v>533</v>
      </c>
    </row>
    <row r="19" spans="1:5" ht="16" x14ac:dyDescent="0.2">
      <c r="A19" s="14" t="s">
        <v>101</v>
      </c>
      <c r="B19" s="15" t="s">
        <v>118</v>
      </c>
      <c r="C19" s="16">
        <v>2847</v>
      </c>
      <c r="D19" s="16">
        <v>1394894</v>
      </c>
      <c r="E19" s="17" t="s">
        <v>533</v>
      </c>
    </row>
    <row r="20" spans="1:5" ht="16" x14ac:dyDescent="0.2">
      <c r="A20" s="14" t="s">
        <v>188</v>
      </c>
      <c r="B20" s="15" t="s">
        <v>109</v>
      </c>
      <c r="C20" s="16">
        <v>2931</v>
      </c>
      <c r="D20" s="16">
        <v>1379264.5</v>
      </c>
      <c r="E20" s="17" t="s">
        <v>534</v>
      </c>
    </row>
    <row r="21" spans="1:5" ht="16" x14ac:dyDescent="0.2">
      <c r="A21" s="14" t="s">
        <v>104</v>
      </c>
      <c r="B21" s="15" t="s">
        <v>401</v>
      </c>
      <c r="C21" s="16">
        <v>2504</v>
      </c>
      <c r="D21" s="16">
        <v>1373114</v>
      </c>
      <c r="E21" s="17" t="s">
        <v>458</v>
      </c>
    </row>
    <row r="22" spans="1:5" ht="16" x14ac:dyDescent="0.2">
      <c r="A22" s="14" t="s">
        <v>106</v>
      </c>
      <c r="B22" s="15" t="s">
        <v>98</v>
      </c>
      <c r="C22" s="16">
        <v>2723</v>
      </c>
      <c r="D22" s="16">
        <v>1352797.5</v>
      </c>
      <c r="E22" s="17" t="s">
        <v>402</v>
      </c>
    </row>
    <row r="23" spans="1:5" ht="16" x14ac:dyDescent="0.2">
      <c r="A23" s="14" t="s">
        <v>108</v>
      </c>
      <c r="B23" s="15" t="s">
        <v>208</v>
      </c>
      <c r="C23" s="16">
        <v>2556</v>
      </c>
      <c r="D23" s="16">
        <v>1349094.5</v>
      </c>
      <c r="E23" s="17" t="s">
        <v>402</v>
      </c>
    </row>
    <row r="24" spans="1:5" ht="16" x14ac:dyDescent="0.2">
      <c r="A24" s="14" t="s">
        <v>179</v>
      </c>
      <c r="B24" s="15" t="s">
        <v>92</v>
      </c>
      <c r="C24" s="16">
        <v>2968</v>
      </c>
      <c r="D24" s="16">
        <v>1343990.5</v>
      </c>
      <c r="E24" s="17" t="s">
        <v>402</v>
      </c>
    </row>
    <row r="25" spans="1:5" ht="16" x14ac:dyDescent="0.2">
      <c r="A25" s="14" t="s">
        <v>110</v>
      </c>
      <c r="B25" s="15" t="s">
        <v>174</v>
      </c>
      <c r="C25" s="16">
        <v>2694</v>
      </c>
      <c r="D25" s="16">
        <v>1274168</v>
      </c>
      <c r="E25" s="17" t="s">
        <v>489</v>
      </c>
    </row>
    <row r="26" spans="1:5" ht="16" x14ac:dyDescent="0.2">
      <c r="A26" s="14" t="s">
        <v>112</v>
      </c>
      <c r="B26" s="15" t="s">
        <v>45</v>
      </c>
      <c r="C26" s="16">
        <v>2564</v>
      </c>
      <c r="D26" s="16">
        <v>1272433.8</v>
      </c>
      <c r="E26" s="17" t="s">
        <v>489</v>
      </c>
    </row>
    <row r="27" spans="1:5" ht="16" x14ac:dyDescent="0.2">
      <c r="A27" s="14" t="s">
        <v>113</v>
      </c>
      <c r="B27" s="15" t="s">
        <v>107</v>
      </c>
      <c r="C27" s="16">
        <v>2400</v>
      </c>
      <c r="D27" s="16">
        <v>1198422</v>
      </c>
      <c r="E27" s="17" t="s">
        <v>365</v>
      </c>
    </row>
    <row r="28" spans="1:5" ht="16" x14ac:dyDescent="0.2">
      <c r="A28" s="14" t="s">
        <v>115</v>
      </c>
      <c r="B28" s="15" t="s">
        <v>100</v>
      </c>
      <c r="C28" s="16">
        <v>2662</v>
      </c>
      <c r="D28" s="16">
        <v>1184036</v>
      </c>
      <c r="E28" s="17" t="s">
        <v>520</v>
      </c>
    </row>
    <row r="29" spans="1:5" ht="16" x14ac:dyDescent="0.2">
      <c r="A29" s="14" t="s">
        <v>117</v>
      </c>
      <c r="B29" s="15" t="s">
        <v>123</v>
      </c>
      <c r="C29" s="16">
        <v>2359</v>
      </c>
      <c r="D29" s="16">
        <v>1162332</v>
      </c>
      <c r="E29" s="17" t="s">
        <v>459</v>
      </c>
    </row>
    <row r="30" spans="1:5" ht="16" x14ac:dyDescent="0.2">
      <c r="A30" s="14" t="s">
        <v>119</v>
      </c>
      <c r="B30" s="15" t="s">
        <v>175</v>
      </c>
      <c r="C30" s="16">
        <v>2525</v>
      </c>
      <c r="D30" s="16">
        <v>1161926</v>
      </c>
      <c r="E30" s="17" t="s">
        <v>459</v>
      </c>
    </row>
    <row r="31" spans="1:5" ht="16" x14ac:dyDescent="0.2">
      <c r="A31" s="14" t="s">
        <v>120</v>
      </c>
      <c r="B31" s="15" t="s">
        <v>130</v>
      </c>
      <c r="C31" s="16">
        <v>2394</v>
      </c>
      <c r="D31" s="16">
        <v>1156083</v>
      </c>
      <c r="E31" s="17" t="s">
        <v>459</v>
      </c>
    </row>
    <row r="32" spans="1:5" ht="16" x14ac:dyDescent="0.2">
      <c r="A32" s="14" t="s">
        <v>122</v>
      </c>
      <c r="B32" s="15" t="s">
        <v>305</v>
      </c>
      <c r="C32" s="16">
        <v>2327</v>
      </c>
      <c r="D32" s="16">
        <v>1112640</v>
      </c>
      <c r="E32" s="17" t="s">
        <v>570</v>
      </c>
    </row>
    <row r="33" spans="1:5" ht="16" x14ac:dyDescent="0.2">
      <c r="A33" s="14" t="s">
        <v>124</v>
      </c>
      <c r="B33" s="15" t="s">
        <v>88</v>
      </c>
      <c r="C33" s="16">
        <v>2317</v>
      </c>
      <c r="D33" s="16">
        <v>1100317</v>
      </c>
      <c r="E33" s="17" t="s">
        <v>385</v>
      </c>
    </row>
    <row r="34" spans="1:5" ht="16" x14ac:dyDescent="0.2">
      <c r="A34" s="14" t="s">
        <v>126</v>
      </c>
      <c r="B34" s="15" t="s">
        <v>206</v>
      </c>
      <c r="C34" s="16">
        <v>2219</v>
      </c>
      <c r="D34" s="16">
        <v>1086471</v>
      </c>
      <c r="E34" s="17" t="s">
        <v>498</v>
      </c>
    </row>
    <row r="35" spans="1:5" ht="16" x14ac:dyDescent="0.2">
      <c r="A35" s="14" t="s">
        <v>190</v>
      </c>
      <c r="B35" s="15" t="s">
        <v>346</v>
      </c>
      <c r="C35" s="16">
        <v>2237</v>
      </c>
      <c r="D35" s="16">
        <v>1083627</v>
      </c>
      <c r="E35" s="17" t="s">
        <v>498</v>
      </c>
    </row>
    <row r="36" spans="1:5" ht="16" x14ac:dyDescent="0.2">
      <c r="A36" s="14" t="s">
        <v>128</v>
      </c>
      <c r="B36" s="15" t="s">
        <v>46</v>
      </c>
      <c r="C36" s="16">
        <v>2713</v>
      </c>
      <c r="D36" s="16">
        <v>1070469</v>
      </c>
      <c r="E36" s="17" t="s">
        <v>412</v>
      </c>
    </row>
    <row r="37" spans="1:5" ht="16" x14ac:dyDescent="0.2">
      <c r="A37" s="14" t="s">
        <v>191</v>
      </c>
      <c r="B37" s="15" t="s">
        <v>189</v>
      </c>
      <c r="C37" s="16">
        <v>69</v>
      </c>
      <c r="D37" s="16">
        <v>1059950</v>
      </c>
      <c r="E37" s="17" t="s">
        <v>412</v>
      </c>
    </row>
    <row r="38" spans="1:5" ht="16" x14ac:dyDescent="0.2">
      <c r="A38" s="14" t="s">
        <v>131</v>
      </c>
      <c r="B38" s="15" t="s">
        <v>132</v>
      </c>
      <c r="C38" s="16">
        <v>1779</v>
      </c>
      <c r="D38" s="16">
        <v>1027144</v>
      </c>
      <c r="E38" s="17" t="s">
        <v>403</v>
      </c>
    </row>
    <row r="39" spans="1:5" ht="16" x14ac:dyDescent="0.2">
      <c r="A39" s="14" t="s">
        <v>133</v>
      </c>
      <c r="B39" s="15" t="s">
        <v>5</v>
      </c>
      <c r="C39" s="16">
        <v>2002</v>
      </c>
      <c r="D39" s="16">
        <v>1027074</v>
      </c>
      <c r="E39" s="17" t="s">
        <v>403</v>
      </c>
    </row>
    <row r="40" spans="1:5" ht="16" x14ac:dyDescent="0.2">
      <c r="A40" s="14" t="s">
        <v>135</v>
      </c>
      <c r="B40" s="15" t="s">
        <v>151</v>
      </c>
      <c r="C40" s="16">
        <v>1963</v>
      </c>
      <c r="D40" s="16">
        <v>993494.5</v>
      </c>
      <c r="E40" s="17" t="s">
        <v>420</v>
      </c>
    </row>
    <row r="41" spans="1:5" ht="16" x14ac:dyDescent="0.2">
      <c r="A41" s="14" t="s">
        <v>137</v>
      </c>
      <c r="B41" s="15" t="s">
        <v>252</v>
      </c>
      <c r="C41" s="16">
        <v>2411</v>
      </c>
      <c r="D41" s="16">
        <v>992780</v>
      </c>
      <c r="E41" s="17" t="s">
        <v>420</v>
      </c>
    </row>
    <row r="42" spans="1:5" ht="16" x14ac:dyDescent="0.2">
      <c r="A42" s="14" t="s">
        <v>139</v>
      </c>
      <c r="B42" s="15" t="s">
        <v>129</v>
      </c>
      <c r="C42" s="16">
        <v>1968</v>
      </c>
      <c r="D42" s="16">
        <v>977199</v>
      </c>
      <c r="E42" s="17" t="s">
        <v>404</v>
      </c>
    </row>
    <row r="43" spans="1:5" ht="16" x14ac:dyDescent="0.2">
      <c r="A43" s="14" t="s">
        <v>141</v>
      </c>
      <c r="B43" s="15" t="s">
        <v>140</v>
      </c>
      <c r="C43" s="16">
        <v>2003</v>
      </c>
      <c r="D43" s="16">
        <v>970511</v>
      </c>
      <c r="E43" s="17" t="s">
        <v>404</v>
      </c>
    </row>
    <row r="44" spans="1:5" ht="16" x14ac:dyDescent="0.2">
      <c r="A44" s="14" t="s">
        <v>142</v>
      </c>
      <c r="B44" s="15" t="s">
        <v>121</v>
      </c>
      <c r="C44" s="16">
        <v>1955</v>
      </c>
      <c r="D44" s="16">
        <v>959621</v>
      </c>
      <c r="E44" s="17" t="s">
        <v>293</v>
      </c>
    </row>
    <row r="45" spans="1:5" ht="16" x14ac:dyDescent="0.2">
      <c r="A45" s="14" t="s">
        <v>144</v>
      </c>
      <c r="B45" s="15" t="s">
        <v>3</v>
      </c>
      <c r="C45" s="16">
        <v>2637</v>
      </c>
      <c r="D45" s="16">
        <v>952403</v>
      </c>
      <c r="E45" s="17" t="s">
        <v>466</v>
      </c>
    </row>
    <row r="46" spans="1:5" ht="16" x14ac:dyDescent="0.2">
      <c r="A46" s="14" t="s">
        <v>146</v>
      </c>
      <c r="B46" s="15" t="s">
        <v>1</v>
      </c>
      <c r="C46" s="16">
        <v>1716</v>
      </c>
      <c r="D46" s="16">
        <v>945055.2</v>
      </c>
      <c r="E46" s="17" t="s">
        <v>466</v>
      </c>
    </row>
    <row r="47" spans="1:5" ht="16" x14ac:dyDescent="0.2">
      <c r="A47" s="14" t="s">
        <v>180</v>
      </c>
      <c r="B47" s="15" t="s">
        <v>143</v>
      </c>
      <c r="C47" s="16">
        <v>2002</v>
      </c>
      <c r="D47" s="16">
        <v>935230</v>
      </c>
      <c r="E47" s="17" t="s">
        <v>431</v>
      </c>
    </row>
    <row r="48" spans="1:5" ht="16" x14ac:dyDescent="0.2">
      <c r="A48" s="14" t="s">
        <v>147</v>
      </c>
      <c r="B48" s="15" t="s">
        <v>306</v>
      </c>
      <c r="C48" s="16">
        <v>2002</v>
      </c>
      <c r="D48" s="16">
        <v>907039</v>
      </c>
      <c r="E48" s="17" t="s">
        <v>475</v>
      </c>
    </row>
    <row r="49" spans="1:5" ht="16" x14ac:dyDescent="0.2">
      <c r="A49" s="14" t="s">
        <v>149</v>
      </c>
      <c r="B49" s="15" t="s">
        <v>138</v>
      </c>
      <c r="C49" s="16">
        <v>1822</v>
      </c>
      <c r="D49" s="16">
        <v>872878</v>
      </c>
      <c r="E49" s="17" t="s">
        <v>432</v>
      </c>
    </row>
    <row r="50" spans="1:5" ht="16" x14ac:dyDescent="0.2">
      <c r="A50" s="14" t="s">
        <v>150</v>
      </c>
      <c r="B50" s="15" t="s">
        <v>134</v>
      </c>
      <c r="C50" s="16">
        <v>2037</v>
      </c>
      <c r="D50" s="16">
        <v>859219</v>
      </c>
      <c r="E50" s="17" t="s">
        <v>468</v>
      </c>
    </row>
    <row r="51" spans="1:5" ht="16" x14ac:dyDescent="0.2">
      <c r="A51" s="14" t="s">
        <v>152</v>
      </c>
      <c r="B51" s="15" t="s">
        <v>116</v>
      </c>
      <c r="C51" s="16">
        <v>1480</v>
      </c>
      <c r="D51" s="16">
        <v>839579.5</v>
      </c>
      <c r="E51" s="17" t="s">
        <v>515</v>
      </c>
    </row>
    <row r="52" spans="1:5" ht="16" x14ac:dyDescent="0.2">
      <c r="A52" s="14" t="s">
        <v>153</v>
      </c>
      <c r="B52" s="15" t="s">
        <v>80</v>
      </c>
      <c r="C52" s="16">
        <v>1489</v>
      </c>
      <c r="D52" s="16">
        <v>836250</v>
      </c>
      <c r="E52" s="17" t="s">
        <v>515</v>
      </c>
    </row>
    <row r="53" spans="1:5" ht="16" x14ac:dyDescent="0.2">
      <c r="A53" s="14" t="s">
        <v>155</v>
      </c>
      <c r="B53" s="15" t="s">
        <v>362</v>
      </c>
      <c r="C53" s="16">
        <v>1654</v>
      </c>
      <c r="D53" s="16">
        <v>835650.5</v>
      </c>
      <c r="E53" s="17" t="s">
        <v>515</v>
      </c>
    </row>
    <row r="54" spans="1:5" ht="16" x14ac:dyDescent="0.2">
      <c r="A54" s="14" t="s">
        <v>157</v>
      </c>
      <c r="B54" s="15" t="s">
        <v>102</v>
      </c>
      <c r="C54" s="16">
        <v>1659</v>
      </c>
      <c r="D54" s="16">
        <v>804149</v>
      </c>
      <c r="E54" s="17" t="s">
        <v>413</v>
      </c>
    </row>
    <row r="55" spans="1:5" ht="16" x14ac:dyDescent="0.2">
      <c r="A55" s="14" t="s">
        <v>192</v>
      </c>
      <c r="B55" s="15" t="s">
        <v>125</v>
      </c>
      <c r="C55" s="16">
        <v>1619</v>
      </c>
      <c r="D55" s="16">
        <v>798457</v>
      </c>
      <c r="E55" s="17" t="s">
        <v>571</v>
      </c>
    </row>
    <row r="56" spans="1:5" ht="16" x14ac:dyDescent="0.2">
      <c r="A56" s="14" t="s">
        <v>159</v>
      </c>
      <c r="B56" s="15" t="s">
        <v>145</v>
      </c>
      <c r="C56" s="16">
        <v>1572</v>
      </c>
      <c r="D56" s="16">
        <v>783110.5</v>
      </c>
      <c r="E56" s="17" t="s">
        <v>499</v>
      </c>
    </row>
    <row r="57" spans="1:5" ht="16" x14ac:dyDescent="0.2">
      <c r="A57" s="14" t="s">
        <v>160</v>
      </c>
      <c r="B57" s="15" t="s">
        <v>341</v>
      </c>
      <c r="C57" s="16">
        <v>1797</v>
      </c>
      <c r="D57" s="16">
        <v>775104</v>
      </c>
      <c r="E57" s="17" t="s">
        <v>499</v>
      </c>
    </row>
    <row r="58" spans="1:5" ht="16" x14ac:dyDescent="0.2">
      <c r="A58" s="14" t="s">
        <v>193</v>
      </c>
      <c r="B58" s="15" t="s">
        <v>238</v>
      </c>
      <c r="C58" s="16">
        <v>3471</v>
      </c>
      <c r="D58" s="16">
        <v>758191.5</v>
      </c>
      <c r="E58" s="17" t="s">
        <v>425</v>
      </c>
    </row>
    <row r="59" spans="1:5" ht="16" x14ac:dyDescent="0.2">
      <c r="A59" s="14" t="s">
        <v>162</v>
      </c>
      <c r="B59" s="15" t="s">
        <v>359</v>
      </c>
      <c r="C59" s="16">
        <v>1396</v>
      </c>
      <c r="D59" s="16">
        <v>734037.5</v>
      </c>
      <c r="E59" s="17" t="s">
        <v>522</v>
      </c>
    </row>
    <row r="60" spans="1:5" ht="16" x14ac:dyDescent="0.2">
      <c r="A60" s="14" t="s">
        <v>194</v>
      </c>
      <c r="B60" s="15" t="s">
        <v>290</v>
      </c>
      <c r="C60" s="16">
        <v>1619</v>
      </c>
      <c r="D60" s="16">
        <v>728717</v>
      </c>
      <c r="E60" s="17" t="s">
        <v>522</v>
      </c>
    </row>
    <row r="61" spans="1:5" ht="16" x14ac:dyDescent="0.2">
      <c r="A61" s="14" t="s">
        <v>163</v>
      </c>
      <c r="B61" s="15" t="s">
        <v>136</v>
      </c>
      <c r="C61" s="16">
        <v>1229</v>
      </c>
      <c r="D61" s="16">
        <v>725180</v>
      </c>
      <c r="E61" s="17" t="s">
        <v>426</v>
      </c>
    </row>
    <row r="62" spans="1:5" ht="16" x14ac:dyDescent="0.2">
      <c r="A62" s="14" t="s">
        <v>164</v>
      </c>
      <c r="B62" s="15" t="s">
        <v>161</v>
      </c>
      <c r="C62" s="16">
        <v>1472</v>
      </c>
      <c r="D62" s="16">
        <v>724227.7</v>
      </c>
      <c r="E62" s="17" t="s">
        <v>426</v>
      </c>
    </row>
    <row r="63" spans="1:5" ht="16" x14ac:dyDescent="0.2">
      <c r="A63" s="14" t="s">
        <v>165</v>
      </c>
      <c r="B63" s="15" t="s">
        <v>127</v>
      </c>
      <c r="C63" s="16">
        <v>1589</v>
      </c>
      <c r="D63" s="16">
        <v>697594</v>
      </c>
      <c r="E63" s="17" t="s">
        <v>336</v>
      </c>
    </row>
    <row r="64" spans="1:5" ht="16" x14ac:dyDescent="0.2">
      <c r="A64" s="14" t="s">
        <v>166</v>
      </c>
      <c r="B64" s="15" t="s">
        <v>156</v>
      </c>
      <c r="C64" s="16">
        <v>1308</v>
      </c>
      <c r="D64" s="16">
        <v>690504</v>
      </c>
      <c r="E64" s="17" t="s">
        <v>336</v>
      </c>
    </row>
    <row r="65" spans="1:5" ht="16" x14ac:dyDescent="0.2">
      <c r="A65" s="14" t="s">
        <v>195</v>
      </c>
      <c r="B65" s="15" t="s">
        <v>370</v>
      </c>
      <c r="C65" s="16">
        <v>1655</v>
      </c>
      <c r="D65" s="16">
        <v>689263</v>
      </c>
      <c r="E65" s="17" t="s">
        <v>336</v>
      </c>
    </row>
    <row r="66" spans="1:5" ht="16" x14ac:dyDescent="0.2">
      <c r="A66" s="14" t="s">
        <v>167</v>
      </c>
      <c r="B66" s="15" t="s">
        <v>173</v>
      </c>
      <c r="C66" s="16">
        <v>1337</v>
      </c>
      <c r="D66" s="16">
        <v>679662</v>
      </c>
      <c r="E66" s="17" t="s">
        <v>340</v>
      </c>
    </row>
    <row r="67" spans="1:5" ht="16" x14ac:dyDescent="0.2">
      <c r="A67" s="14" t="s">
        <v>181</v>
      </c>
      <c r="B67" s="15" t="s">
        <v>47</v>
      </c>
      <c r="C67" s="16">
        <v>1526</v>
      </c>
      <c r="D67" s="16">
        <v>679359</v>
      </c>
      <c r="E67" s="17" t="s">
        <v>340</v>
      </c>
    </row>
    <row r="68" spans="1:5" ht="16" x14ac:dyDescent="0.2">
      <c r="A68" s="14" t="s">
        <v>168</v>
      </c>
      <c r="B68" s="15" t="s">
        <v>371</v>
      </c>
      <c r="C68" s="16">
        <v>1435</v>
      </c>
      <c r="D68" s="16">
        <v>658331</v>
      </c>
      <c r="E68" s="17" t="s">
        <v>469</v>
      </c>
    </row>
    <row r="69" spans="1:5" ht="16" x14ac:dyDescent="0.2">
      <c r="A69" s="14" t="s">
        <v>182</v>
      </c>
      <c r="B69" s="15" t="s">
        <v>291</v>
      </c>
      <c r="C69" s="16">
        <v>1494</v>
      </c>
      <c r="D69" s="16">
        <v>652021</v>
      </c>
      <c r="E69" s="17" t="s">
        <v>366</v>
      </c>
    </row>
    <row r="70" spans="1:5" ht="16" x14ac:dyDescent="0.2">
      <c r="A70" s="14" t="s">
        <v>184</v>
      </c>
      <c r="B70" s="15" t="s">
        <v>196</v>
      </c>
      <c r="C70" s="16">
        <v>1257</v>
      </c>
      <c r="D70" s="16">
        <v>629096</v>
      </c>
      <c r="E70" s="17" t="s">
        <v>523</v>
      </c>
    </row>
    <row r="71" spans="1:5" ht="16" x14ac:dyDescent="0.2">
      <c r="A71" s="14" t="s">
        <v>199</v>
      </c>
      <c r="B71" s="15" t="s">
        <v>148</v>
      </c>
      <c r="C71" s="16">
        <v>1437</v>
      </c>
      <c r="D71" s="16">
        <v>624836</v>
      </c>
      <c r="E71" s="17" t="s">
        <v>523</v>
      </c>
    </row>
    <row r="72" spans="1:5" ht="16" x14ac:dyDescent="0.2">
      <c r="A72" s="14" t="s">
        <v>200</v>
      </c>
      <c r="B72" s="15" t="s">
        <v>158</v>
      </c>
      <c r="C72" s="16">
        <v>1273</v>
      </c>
      <c r="D72" s="16">
        <v>620565</v>
      </c>
      <c r="E72" s="17" t="s">
        <v>367</v>
      </c>
    </row>
    <row r="73" spans="1:5" ht="16" x14ac:dyDescent="0.2">
      <c r="A73" s="14" t="s">
        <v>209</v>
      </c>
      <c r="B73" s="15" t="s">
        <v>154</v>
      </c>
      <c r="C73" s="16">
        <v>1302</v>
      </c>
      <c r="D73" s="16">
        <v>608464</v>
      </c>
      <c r="E73" s="17" t="s">
        <v>367</v>
      </c>
    </row>
    <row r="74" spans="1:5" ht="16" x14ac:dyDescent="0.2">
      <c r="A74" s="14" t="s">
        <v>210</v>
      </c>
      <c r="B74" s="15" t="s">
        <v>243</v>
      </c>
      <c r="C74" s="16">
        <v>1254</v>
      </c>
      <c r="D74" s="16">
        <v>592802</v>
      </c>
      <c r="E74" s="17" t="s">
        <v>476</v>
      </c>
    </row>
    <row r="75" spans="1:5" ht="16" x14ac:dyDescent="0.2">
      <c r="A75" s="14" t="s">
        <v>211</v>
      </c>
      <c r="B75" s="15" t="s">
        <v>44</v>
      </c>
      <c r="C75" s="16">
        <v>1659</v>
      </c>
      <c r="D75" s="16">
        <v>553776</v>
      </c>
      <c r="E75" s="17" t="s">
        <v>430</v>
      </c>
    </row>
    <row r="76" spans="1:5" ht="16" x14ac:dyDescent="0.2">
      <c r="A76" s="14" t="s">
        <v>215</v>
      </c>
      <c r="B76" s="15" t="s">
        <v>500</v>
      </c>
      <c r="C76" s="16">
        <v>1487</v>
      </c>
      <c r="D76" s="16">
        <v>514788</v>
      </c>
      <c r="E76" s="17" t="s">
        <v>282</v>
      </c>
    </row>
    <row r="77" spans="1:5" ht="16" x14ac:dyDescent="0.2">
      <c r="A77" s="14" t="s">
        <v>216</v>
      </c>
      <c r="B77" s="15" t="s">
        <v>283</v>
      </c>
      <c r="C77" s="16">
        <v>972</v>
      </c>
      <c r="D77" s="16">
        <v>498302</v>
      </c>
      <c r="E77" s="17" t="s">
        <v>421</v>
      </c>
    </row>
    <row r="78" spans="1:5" ht="16" x14ac:dyDescent="0.2">
      <c r="A78" s="14" t="s">
        <v>244</v>
      </c>
      <c r="B78" s="15" t="s">
        <v>361</v>
      </c>
      <c r="C78" s="16">
        <v>954</v>
      </c>
      <c r="D78" s="16">
        <v>469734.5</v>
      </c>
      <c r="E78" s="17" t="s">
        <v>353</v>
      </c>
    </row>
    <row r="79" spans="1:5" ht="16" x14ac:dyDescent="0.2">
      <c r="A79" s="14" t="s">
        <v>245</v>
      </c>
      <c r="B79" s="15" t="s">
        <v>43</v>
      </c>
      <c r="C79" s="16">
        <v>1436</v>
      </c>
      <c r="D79" s="16">
        <v>464845.5</v>
      </c>
      <c r="E79" s="17" t="s">
        <v>353</v>
      </c>
    </row>
    <row r="80" spans="1:5" ht="16" x14ac:dyDescent="0.2">
      <c r="A80" s="14" t="s">
        <v>295</v>
      </c>
      <c r="B80" s="15" t="s">
        <v>183</v>
      </c>
      <c r="C80" s="16">
        <v>1005</v>
      </c>
      <c r="D80" s="16">
        <v>443924</v>
      </c>
      <c r="E80" s="17" t="s">
        <v>503</v>
      </c>
    </row>
    <row r="81" spans="1:5" ht="16" x14ac:dyDescent="0.2">
      <c r="A81" s="14" t="s">
        <v>296</v>
      </c>
      <c r="B81" s="15" t="s">
        <v>342</v>
      </c>
      <c r="C81" s="16">
        <v>917</v>
      </c>
      <c r="D81" s="16">
        <v>443156</v>
      </c>
      <c r="E81" s="17" t="s">
        <v>503</v>
      </c>
    </row>
    <row r="82" spans="1:5" ht="16" x14ac:dyDescent="0.2">
      <c r="A82" s="14" t="s">
        <v>297</v>
      </c>
      <c r="B82" s="15" t="s">
        <v>339</v>
      </c>
      <c r="C82" s="16">
        <v>862</v>
      </c>
      <c r="D82" s="16">
        <v>392423.5</v>
      </c>
      <c r="E82" s="17" t="s">
        <v>470</v>
      </c>
    </row>
    <row r="83" spans="1:5" ht="16" x14ac:dyDescent="0.2">
      <c r="A83" s="14" t="s">
        <v>298</v>
      </c>
      <c r="B83" s="15" t="s">
        <v>348</v>
      </c>
      <c r="C83" s="16">
        <v>747</v>
      </c>
      <c r="D83" s="16">
        <v>384411.2</v>
      </c>
      <c r="E83" s="17" t="s">
        <v>470</v>
      </c>
    </row>
    <row r="84" spans="1:5" ht="16" x14ac:dyDescent="0.2">
      <c r="A84" s="14" t="s">
        <v>299</v>
      </c>
      <c r="B84" s="15" t="s">
        <v>203</v>
      </c>
      <c r="C84" s="16">
        <v>1151</v>
      </c>
      <c r="D84" s="16">
        <v>352536</v>
      </c>
      <c r="E84" s="17" t="s">
        <v>477</v>
      </c>
    </row>
    <row r="85" spans="1:5" ht="16" x14ac:dyDescent="0.2">
      <c r="A85" s="14" t="s">
        <v>307</v>
      </c>
      <c r="B85" s="15" t="s">
        <v>292</v>
      </c>
      <c r="C85" s="16">
        <v>725</v>
      </c>
      <c r="D85" s="16">
        <v>335396</v>
      </c>
      <c r="E85" s="17" t="s">
        <v>411</v>
      </c>
    </row>
    <row r="86" spans="1:5" ht="16" x14ac:dyDescent="0.2">
      <c r="A86" s="14" t="s">
        <v>312</v>
      </c>
      <c r="B86" s="15" t="s">
        <v>375</v>
      </c>
      <c r="C86" s="16">
        <v>811</v>
      </c>
      <c r="D86" s="16">
        <v>319927</v>
      </c>
      <c r="E86" s="17" t="s">
        <v>572</v>
      </c>
    </row>
    <row r="87" spans="1:5" ht="16" x14ac:dyDescent="0.2">
      <c r="A87" s="14" t="s">
        <v>313</v>
      </c>
      <c r="B87" s="15" t="s">
        <v>368</v>
      </c>
      <c r="C87" s="16">
        <v>744</v>
      </c>
      <c r="D87" s="16">
        <v>286975</v>
      </c>
      <c r="E87" s="17" t="s">
        <v>541</v>
      </c>
    </row>
    <row r="88" spans="1:5" ht="16" x14ac:dyDescent="0.2">
      <c r="A88" s="14" t="s">
        <v>331</v>
      </c>
      <c r="B88" s="15" t="s">
        <v>414</v>
      </c>
      <c r="C88" s="16">
        <v>646</v>
      </c>
      <c r="D88" s="16">
        <v>263978</v>
      </c>
      <c r="E88" s="17" t="s">
        <v>490</v>
      </c>
    </row>
    <row r="89" spans="1:5" ht="16" x14ac:dyDescent="0.2">
      <c r="A89" s="14" t="s">
        <v>349</v>
      </c>
      <c r="B89" s="15" t="s">
        <v>6</v>
      </c>
      <c r="C89" s="16">
        <v>664</v>
      </c>
      <c r="D89" s="16">
        <v>262722</v>
      </c>
      <c r="E89" s="17" t="s">
        <v>490</v>
      </c>
    </row>
    <row r="90" spans="1:5" ht="16" x14ac:dyDescent="0.2">
      <c r="A90" s="14" t="s">
        <v>350</v>
      </c>
      <c r="B90" s="15" t="s">
        <v>410</v>
      </c>
      <c r="C90" s="16">
        <v>433</v>
      </c>
      <c r="D90" s="16">
        <v>253761</v>
      </c>
      <c r="E90" s="17" t="s">
        <v>506</v>
      </c>
    </row>
    <row r="91" spans="1:5" ht="16" x14ac:dyDescent="0.2">
      <c r="A91" s="14" t="s">
        <v>354</v>
      </c>
      <c r="B91" s="15" t="s">
        <v>284</v>
      </c>
      <c r="C91" s="16">
        <v>591</v>
      </c>
      <c r="D91" s="16">
        <v>241759</v>
      </c>
      <c r="E91" s="17" t="s">
        <v>573</v>
      </c>
    </row>
    <row r="92" spans="1:5" ht="16" x14ac:dyDescent="0.2">
      <c r="A92" s="14" t="s">
        <v>355</v>
      </c>
      <c r="B92" s="15" t="s">
        <v>472</v>
      </c>
      <c r="C92" s="16">
        <v>551</v>
      </c>
      <c r="D92" s="16">
        <v>200326</v>
      </c>
      <c r="E92" s="17" t="s">
        <v>542</v>
      </c>
    </row>
    <row r="93" spans="1:5" ht="16" x14ac:dyDescent="0.2">
      <c r="A93" s="14" t="s">
        <v>356</v>
      </c>
      <c r="B93" s="15" t="s">
        <v>377</v>
      </c>
      <c r="C93" s="16">
        <v>457</v>
      </c>
      <c r="D93" s="16">
        <v>189430</v>
      </c>
      <c r="E93" s="17" t="s">
        <v>542</v>
      </c>
    </row>
    <row r="94" spans="1:5" ht="16" x14ac:dyDescent="0.2">
      <c r="A94" s="14" t="s">
        <v>363</v>
      </c>
      <c r="B94" s="15" t="s">
        <v>357</v>
      </c>
      <c r="C94" s="16">
        <v>530</v>
      </c>
      <c r="D94" s="16">
        <v>184940</v>
      </c>
      <c r="E94" s="17" t="s">
        <v>471</v>
      </c>
    </row>
    <row r="95" spans="1:5" ht="16" x14ac:dyDescent="0.2">
      <c r="A95" s="14" t="s">
        <v>364</v>
      </c>
      <c r="B95" s="15" t="s">
        <v>7</v>
      </c>
      <c r="C95" s="16">
        <v>482</v>
      </c>
      <c r="D95" s="16">
        <v>153847</v>
      </c>
      <c r="E95" s="17" t="s">
        <v>487</v>
      </c>
    </row>
    <row r="96" spans="1:5" ht="16" x14ac:dyDescent="0.2">
      <c r="A96" s="14" t="s">
        <v>388</v>
      </c>
      <c r="B96" s="15" t="s">
        <v>372</v>
      </c>
      <c r="C96" s="16">
        <v>314</v>
      </c>
      <c r="D96" s="16">
        <v>106246</v>
      </c>
      <c r="E96" s="17" t="s">
        <v>524</v>
      </c>
    </row>
    <row r="97" spans="1:5" ht="16" x14ac:dyDescent="0.2">
      <c r="A97" s="14" t="s">
        <v>389</v>
      </c>
      <c r="B97" s="15" t="s">
        <v>422</v>
      </c>
      <c r="C97" s="16">
        <v>121</v>
      </c>
      <c r="D97" s="16">
        <v>59910.82</v>
      </c>
      <c r="E97" s="17" t="s">
        <v>525</v>
      </c>
    </row>
    <row r="98" spans="1:5" ht="16" x14ac:dyDescent="0.2">
      <c r="A98" s="14" t="s">
        <v>390</v>
      </c>
      <c r="B98" s="15" t="s">
        <v>332</v>
      </c>
      <c r="C98" s="16">
        <v>18</v>
      </c>
      <c r="D98" s="16">
        <v>3203</v>
      </c>
      <c r="E98" s="17" t="s">
        <v>228</v>
      </c>
    </row>
    <row r="99" spans="1:5" ht="16" x14ac:dyDescent="0.2">
      <c r="A99" s="14" t="s">
        <v>391</v>
      </c>
      <c r="B99" s="15" t="s">
        <v>376</v>
      </c>
      <c r="C99" s="16">
        <v>5</v>
      </c>
      <c r="D99" s="16">
        <v>1484</v>
      </c>
      <c r="E99" s="17" t="s">
        <v>228</v>
      </c>
    </row>
    <row r="100" spans="1:5" ht="16" x14ac:dyDescent="0.2">
      <c r="A100" s="14" t="s">
        <v>392</v>
      </c>
      <c r="B100" s="15" t="s">
        <v>409</v>
      </c>
      <c r="C100" s="16">
        <v>0</v>
      </c>
      <c r="D100" s="16">
        <v>0</v>
      </c>
      <c r="E100" s="17" t="s">
        <v>228</v>
      </c>
    </row>
    <row r="101" spans="1:5" ht="16" x14ac:dyDescent="0.2">
      <c r="A101" s="14" t="s">
        <v>405</v>
      </c>
      <c r="B101" s="15" t="s">
        <v>418</v>
      </c>
      <c r="C101" s="16">
        <v>0</v>
      </c>
      <c r="D101" s="16">
        <v>0</v>
      </c>
      <c r="E101" s="17" t="s">
        <v>228</v>
      </c>
    </row>
    <row r="102" spans="1:5" ht="16" x14ac:dyDescent="0.2">
      <c r="A102" s="14" t="s">
        <v>406</v>
      </c>
      <c r="B102" s="15" t="s">
        <v>374</v>
      </c>
      <c r="C102" s="16">
        <v>0</v>
      </c>
      <c r="D102" s="16">
        <v>0</v>
      </c>
      <c r="E102" s="17" t="s">
        <v>228</v>
      </c>
    </row>
    <row r="103" spans="1:5" ht="16" x14ac:dyDescent="0.2">
      <c r="A103" s="14" t="s">
        <v>473</v>
      </c>
      <c r="B103" s="15" t="s">
        <v>507</v>
      </c>
      <c r="C103" s="16">
        <v>0</v>
      </c>
      <c r="D103" s="16">
        <v>0</v>
      </c>
      <c r="E103" s="17" t="s">
        <v>228</v>
      </c>
    </row>
    <row r="104" spans="1:5" ht="16" x14ac:dyDescent="0.2">
      <c r="A104" s="14" t="s">
        <v>481</v>
      </c>
      <c r="B104" s="15" t="s">
        <v>387</v>
      </c>
      <c r="C104" s="16">
        <v>0</v>
      </c>
      <c r="D104" s="16">
        <v>0</v>
      </c>
      <c r="E104" s="17" t="s">
        <v>228</v>
      </c>
    </row>
    <row r="105" spans="1:5" ht="16" x14ac:dyDescent="0.2">
      <c r="A105" s="14" t="s">
        <v>483</v>
      </c>
      <c r="B105" s="15" t="s">
        <v>486</v>
      </c>
      <c r="C105" s="16">
        <v>0</v>
      </c>
      <c r="D105" s="16">
        <v>0</v>
      </c>
      <c r="E105" s="17" t="s">
        <v>228</v>
      </c>
    </row>
    <row r="106" spans="1:5" ht="16" x14ac:dyDescent="0.2">
      <c r="A106" s="14" t="s">
        <v>484</v>
      </c>
      <c r="B106" s="15" t="s">
        <v>334</v>
      </c>
      <c r="C106" s="16">
        <v>-39</v>
      </c>
      <c r="D106" s="16">
        <v>-5704.33</v>
      </c>
      <c r="E106" s="17" t="s">
        <v>335</v>
      </c>
    </row>
    <row r="107" spans="1:5" ht="16" x14ac:dyDescent="0.2">
      <c r="A107" s="14" t="s">
        <v>485</v>
      </c>
      <c r="B107" s="15" t="s">
        <v>230</v>
      </c>
      <c r="C107" s="16">
        <v>-3882</v>
      </c>
      <c r="D107" s="16">
        <v>-1292283.9799999979</v>
      </c>
      <c r="E107" s="17" t="s">
        <v>574</v>
      </c>
    </row>
    <row r="109" spans="1:5" ht="16" x14ac:dyDescent="0.2">
      <c r="B109" s="14" t="s">
        <v>169</v>
      </c>
      <c r="C109" s="18" t="s">
        <v>170</v>
      </c>
    </row>
    <row r="110" spans="1:5" ht="16" x14ac:dyDescent="0.2">
      <c r="B110" s="14" t="s">
        <v>171</v>
      </c>
      <c r="C110" s="18" t="s">
        <v>575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A9B3-849E-6F44-A759-705AF9B84B2F}">
  <sheetPr codeName="Sheet4">
    <tabColor theme="1"/>
  </sheetPr>
  <dimension ref="A1:I115"/>
  <sheetViews>
    <sheetView tabSelected="1" workbookViewId="0">
      <pane ySplit="2" topLeftCell="A3" activePane="bottomLeft" state="frozen"/>
      <selection pane="bottomLeft" activeCell="H4" sqref="H4:I10"/>
    </sheetView>
  </sheetViews>
  <sheetFormatPr baseColWidth="10" defaultColWidth="7.5703125" defaultRowHeight="15" x14ac:dyDescent="0.15"/>
  <cols>
    <col min="1" max="5" width="17.140625" customWidth="1" collapsed="1"/>
    <col min="6" max="6" width="29.42578125" bestFit="1" customWidth="1"/>
    <col min="8" max="9" width="15.140625" customWidth="1"/>
  </cols>
  <sheetData>
    <row r="1" spans="1:9" ht="16" x14ac:dyDescent="0.2">
      <c r="A1" s="58" t="s">
        <v>536</v>
      </c>
    </row>
    <row r="2" spans="1:9" ht="16" x14ac:dyDescent="0.2">
      <c r="A2" s="13" t="s">
        <v>72</v>
      </c>
      <c r="B2" s="13" t="s">
        <v>73</v>
      </c>
      <c r="C2" s="13" t="s">
        <v>74</v>
      </c>
      <c r="D2" s="13" t="s">
        <v>75</v>
      </c>
      <c r="E2" s="13" t="s">
        <v>76</v>
      </c>
    </row>
    <row r="3" spans="1:9" ht="16" x14ac:dyDescent="0.2">
      <c r="A3" s="14" t="s">
        <v>185</v>
      </c>
      <c r="B3" s="15" t="s">
        <v>186</v>
      </c>
      <c r="C3" s="16">
        <v>250418</v>
      </c>
      <c r="D3" s="16">
        <v>84857273.040001586</v>
      </c>
      <c r="E3" s="17" t="s">
        <v>557</v>
      </c>
      <c r="H3" s="506" t="s">
        <v>584</v>
      </c>
      <c r="I3" s="506" t="s">
        <v>585</v>
      </c>
    </row>
    <row r="4" spans="1:9" ht="16" x14ac:dyDescent="0.2">
      <c r="A4" s="14" t="s">
        <v>77</v>
      </c>
      <c r="B4" s="15" t="s">
        <v>94</v>
      </c>
      <c r="C4" s="16">
        <v>6282</v>
      </c>
      <c r="D4" s="16">
        <v>2519620</v>
      </c>
      <c r="E4" s="17" t="s">
        <v>558</v>
      </c>
      <c r="F4" s="507" t="s">
        <v>107</v>
      </c>
      <c r="G4" s="267" cm="1">
        <f t="array" ref="G4:H4">_xlfn.XLOOKUP(F4,B:B,C:D,0,0)</f>
        <v>2478</v>
      </c>
      <c r="H4" s="267">
        <v>1286829.5</v>
      </c>
      <c r="I4" s="267">
        <f>H4*100/107</f>
        <v>1202644.3925233644</v>
      </c>
    </row>
    <row r="5" spans="1:9" ht="16" x14ac:dyDescent="0.2">
      <c r="A5" s="14" t="s">
        <v>79</v>
      </c>
      <c r="B5" s="15" t="s">
        <v>103</v>
      </c>
      <c r="C5" s="16">
        <v>4120</v>
      </c>
      <c r="D5" s="16">
        <v>2127079.38</v>
      </c>
      <c r="E5" s="17" t="s">
        <v>555</v>
      </c>
      <c r="F5" s="507" t="s">
        <v>132</v>
      </c>
      <c r="G5" s="267" cm="1">
        <f t="array" ref="G5:H5">_xlfn.XLOOKUP(F5,B:B,C:D,0,0)</f>
        <v>1843</v>
      </c>
      <c r="H5" s="267">
        <v>982007.5</v>
      </c>
      <c r="I5" s="267">
        <f t="shared" ref="I5:I21" si="0">H5*100/107</f>
        <v>917764.01869158878</v>
      </c>
    </row>
    <row r="6" spans="1:9" ht="16" x14ac:dyDescent="0.2">
      <c r="A6" s="14" t="s">
        <v>81</v>
      </c>
      <c r="B6" s="15" t="s">
        <v>82</v>
      </c>
      <c r="C6" s="16">
        <v>4333</v>
      </c>
      <c r="D6" s="16">
        <v>2090030.7899999996</v>
      </c>
      <c r="E6" s="17" t="s">
        <v>559</v>
      </c>
      <c r="F6" s="507" t="s">
        <v>246</v>
      </c>
      <c r="G6" s="267" cm="1">
        <f t="array" ref="G6:H6">_xlfn.XLOOKUP(F6,B:B,C:D,0,0)</f>
        <v>3197</v>
      </c>
      <c r="H6" s="267">
        <v>1221787.5</v>
      </c>
      <c r="I6" s="267">
        <f t="shared" si="0"/>
        <v>1141857.4766355141</v>
      </c>
    </row>
    <row r="7" spans="1:9" ht="16" x14ac:dyDescent="0.2">
      <c r="A7" s="14" t="s">
        <v>83</v>
      </c>
      <c r="B7" s="15" t="s">
        <v>85</v>
      </c>
      <c r="C7" s="16">
        <v>3774</v>
      </c>
      <c r="D7" s="16">
        <v>2022108</v>
      </c>
      <c r="E7" s="17" t="s">
        <v>537</v>
      </c>
      <c r="F7" s="507" t="s">
        <v>138</v>
      </c>
      <c r="G7" s="267" cm="1">
        <f t="array" ref="G7:H7">_xlfn.XLOOKUP(F7,B:B,C:D,0,0)</f>
        <v>1662</v>
      </c>
      <c r="H7" s="267">
        <v>784810.5</v>
      </c>
      <c r="I7" s="267">
        <f t="shared" si="0"/>
        <v>733467.75700934581</v>
      </c>
    </row>
    <row r="8" spans="1:9" ht="16" x14ac:dyDescent="0.2">
      <c r="A8" s="14" t="s">
        <v>84</v>
      </c>
      <c r="B8" s="15" t="s">
        <v>347</v>
      </c>
      <c r="C8" s="16">
        <v>3704</v>
      </c>
      <c r="D8" s="16">
        <v>1847713.5</v>
      </c>
      <c r="E8" s="17" t="s">
        <v>560</v>
      </c>
      <c r="F8" s="507" t="s">
        <v>1</v>
      </c>
      <c r="G8" s="267" cm="1">
        <f t="array" ref="G8:H8">_xlfn.XLOOKUP(F8,B:B,C:D,0,0)</f>
        <v>1757</v>
      </c>
      <c r="H8" s="267">
        <v>973986.2</v>
      </c>
      <c r="I8" s="267">
        <f t="shared" si="0"/>
        <v>910267.47663551406</v>
      </c>
    </row>
    <row r="9" spans="1:9" ht="16" x14ac:dyDescent="0.2">
      <c r="A9" s="14" t="s">
        <v>86</v>
      </c>
      <c r="B9" s="15" t="s">
        <v>78</v>
      </c>
      <c r="C9" s="16">
        <v>3688</v>
      </c>
      <c r="D9" s="16">
        <v>1807232</v>
      </c>
      <c r="E9" s="17" t="s">
        <v>538</v>
      </c>
      <c r="F9" s="507" t="s">
        <v>196</v>
      </c>
      <c r="G9" s="267" cm="1">
        <f t="array" ref="G9:H9">_xlfn.XLOOKUP(F9,B:B,C:D,0,0)</f>
        <v>1183</v>
      </c>
      <c r="H9" s="267">
        <v>575938</v>
      </c>
      <c r="I9" s="267">
        <f t="shared" si="0"/>
        <v>538259.81308411213</v>
      </c>
    </row>
    <row r="10" spans="1:9" ht="16" x14ac:dyDescent="0.2">
      <c r="A10" s="14" t="s">
        <v>187</v>
      </c>
      <c r="B10" s="15" t="s">
        <v>2</v>
      </c>
      <c r="C10" s="16">
        <v>3464</v>
      </c>
      <c r="D10" s="16">
        <v>1799497.93</v>
      </c>
      <c r="E10" s="17" t="s">
        <v>538</v>
      </c>
      <c r="F10" s="507" t="s">
        <v>158</v>
      </c>
      <c r="G10" s="267" cm="1">
        <f t="array" ref="G10:H10">_xlfn.XLOOKUP(F10,B:B,C:D,0,0)</f>
        <v>1315</v>
      </c>
      <c r="H10" s="267">
        <v>610704.5</v>
      </c>
      <c r="I10" s="267">
        <f t="shared" si="0"/>
        <v>570751.86915887846</v>
      </c>
    </row>
    <row r="11" spans="1:9" ht="16" x14ac:dyDescent="0.2">
      <c r="A11" s="14" t="s">
        <v>89</v>
      </c>
      <c r="B11" s="15" t="s">
        <v>111</v>
      </c>
      <c r="C11" s="16">
        <v>3737</v>
      </c>
      <c r="D11" s="16">
        <v>1737483.5</v>
      </c>
      <c r="E11" s="17" t="s">
        <v>505</v>
      </c>
      <c r="G11" s="267" cm="1">
        <f t="array" ref="G11:H11">_xlfn.XLOOKUP(F11,B:B,C:D,0,0)</f>
        <v>0</v>
      </c>
      <c r="H11" s="267">
        <v>0</v>
      </c>
      <c r="I11" s="267">
        <f t="shared" si="0"/>
        <v>0</v>
      </c>
    </row>
    <row r="12" spans="1:9" ht="16" x14ac:dyDescent="0.2">
      <c r="A12" s="14" t="s">
        <v>91</v>
      </c>
      <c r="B12" s="15" t="s">
        <v>172</v>
      </c>
      <c r="C12" s="16">
        <v>3263</v>
      </c>
      <c r="D12" s="16">
        <v>1668654</v>
      </c>
      <c r="E12" s="17" t="s">
        <v>539</v>
      </c>
      <c r="F12" s="507" t="s">
        <v>306</v>
      </c>
      <c r="G12" s="267" cm="1">
        <f t="array" ref="G12:H12">_xlfn.XLOOKUP(F12,B:B,C:D,0,0)</f>
        <v>2013</v>
      </c>
      <c r="H12" s="267">
        <v>920696.51</v>
      </c>
      <c r="I12" s="267">
        <f t="shared" si="0"/>
        <v>860464.02803738322</v>
      </c>
    </row>
    <row r="13" spans="1:9" ht="16" x14ac:dyDescent="0.2">
      <c r="A13" s="14" t="s">
        <v>177</v>
      </c>
      <c r="B13" s="15" t="s">
        <v>87</v>
      </c>
      <c r="C13" s="16">
        <v>3640</v>
      </c>
      <c r="D13" s="16">
        <v>1664499.16</v>
      </c>
      <c r="E13" s="17" t="s">
        <v>539</v>
      </c>
      <c r="F13" s="507" t="s">
        <v>80</v>
      </c>
      <c r="G13" s="267" cm="1">
        <f t="array" ref="G13:H13">_xlfn.XLOOKUP(F13,B:B,C:D,0,0)</f>
        <v>1252</v>
      </c>
      <c r="H13" s="267">
        <v>691868</v>
      </c>
      <c r="I13" s="267">
        <f t="shared" si="0"/>
        <v>646605.60747663549</v>
      </c>
    </row>
    <row r="14" spans="1:9" ht="16" x14ac:dyDescent="0.2">
      <c r="A14" s="14" t="s">
        <v>93</v>
      </c>
      <c r="B14" s="15" t="s">
        <v>114</v>
      </c>
      <c r="C14" s="16">
        <v>3162</v>
      </c>
      <c r="D14" s="16">
        <v>1579229.55</v>
      </c>
      <c r="E14" s="17" t="s">
        <v>534</v>
      </c>
      <c r="F14" s="507" t="s">
        <v>359</v>
      </c>
      <c r="G14" s="267" cm="1">
        <f t="array" ref="G14:H14">_xlfn.XLOOKUP(F14,B:B,C:D,0,0)</f>
        <v>1408</v>
      </c>
      <c r="H14" s="267">
        <v>770581</v>
      </c>
      <c r="I14" s="267">
        <f t="shared" si="0"/>
        <v>720169.15887850465</v>
      </c>
    </row>
    <row r="15" spans="1:9" ht="16" x14ac:dyDescent="0.2">
      <c r="A15" s="14" t="s">
        <v>95</v>
      </c>
      <c r="B15" s="15" t="s">
        <v>4</v>
      </c>
      <c r="C15" s="16">
        <v>3361</v>
      </c>
      <c r="D15" s="16">
        <v>1557003</v>
      </c>
      <c r="E15" s="17" t="s">
        <v>458</v>
      </c>
      <c r="F15" s="507" t="s">
        <v>78</v>
      </c>
      <c r="G15" s="267" cm="1">
        <f t="array" ref="G15:H15">_xlfn.XLOOKUP(F15,B:B,C:D,0,0)</f>
        <v>3688</v>
      </c>
      <c r="H15" s="267">
        <v>1807232</v>
      </c>
      <c r="I15" s="267">
        <f t="shared" si="0"/>
        <v>1689001.8691588785</v>
      </c>
    </row>
    <row r="16" spans="1:9" ht="16" x14ac:dyDescent="0.2">
      <c r="A16" s="14" t="s">
        <v>97</v>
      </c>
      <c r="B16" s="15" t="s">
        <v>90</v>
      </c>
      <c r="C16" s="16">
        <v>3265</v>
      </c>
      <c r="D16" s="16">
        <v>1549871.51</v>
      </c>
      <c r="E16" s="17" t="s">
        <v>402</v>
      </c>
      <c r="F16" s="507" t="s">
        <v>111</v>
      </c>
      <c r="G16" s="267" cm="1">
        <f t="array" ref="G16:H16">_xlfn.XLOOKUP(F16,B:B,C:D,0,0)</f>
        <v>3737</v>
      </c>
      <c r="H16" s="267">
        <v>1737483.5</v>
      </c>
      <c r="I16" s="267">
        <f t="shared" si="0"/>
        <v>1623816.3551401868</v>
      </c>
    </row>
    <row r="17" spans="1:9" ht="16" x14ac:dyDescent="0.2">
      <c r="A17" s="14" t="s">
        <v>178</v>
      </c>
      <c r="B17" s="15" t="s">
        <v>92</v>
      </c>
      <c r="C17" s="16">
        <v>3229</v>
      </c>
      <c r="D17" s="16">
        <v>1527520</v>
      </c>
      <c r="E17" s="17" t="s">
        <v>504</v>
      </c>
      <c r="F17" s="507" t="s">
        <v>45</v>
      </c>
      <c r="G17" s="267" cm="1">
        <f t="array" ref="G17:H17">_xlfn.XLOOKUP(F17,B:B,C:D,0,0)</f>
        <v>2259</v>
      </c>
      <c r="H17" s="267">
        <v>1159000.5</v>
      </c>
      <c r="I17" s="267">
        <f t="shared" si="0"/>
        <v>1083178.0373831776</v>
      </c>
    </row>
    <row r="18" spans="1:9" ht="16" x14ac:dyDescent="0.2">
      <c r="A18" s="14" t="s">
        <v>99</v>
      </c>
      <c r="B18" s="15" t="s">
        <v>96</v>
      </c>
      <c r="C18" s="16">
        <v>3038</v>
      </c>
      <c r="D18" s="16">
        <v>1484213</v>
      </c>
      <c r="E18" s="17" t="s">
        <v>407</v>
      </c>
      <c r="F18" s="507" t="s">
        <v>361</v>
      </c>
      <c r="G18" s="267" cm="1">
        <f t="array" ref="G18:H18">_xlfn.XLOOKUP(F18,B:B,C:D,0,0)</f>
        <v>742</v>
      </c>
      <c r="H18" s="267">
        <v>384029.5</v>
      </c>
      <c r="I18" s="267">
        <f t="shared" si="0"/>
        <v>358906.07476635516</v>
      </c>
    </row>
    <row r="19" spans="1:9" ht="16" x14ac:dyDescent="0.2">
      <c r="A19" s="14" t="s">
        <v>101</v>
      </c>
      <c r="B19" s="15" t="s">
        <v>98</v>
      </c>
      <c r="C19" s="16">
        <v>2781</v>
      </c>
      <c r="D19" s="16">
        <v>1403772</v>
      </c>
      <c r="E19" s="17" t="s">
        <v>460</v>
      </c>
      <c r="F19" s="507" t="s">
        <v>292</v>
      </c>
      <c r="G19" s="267" cm="1">
        <f t="array" ref="G19:H19">_xlfn.XLOOKUP(F19,B:B,C:D,0,0)</f>
        <v>870</v>
      </c>
      <c r="H19" s="267">
        <v>396760.54</v>
      </c>
      <c r="I19" s="267">
        <f t="shared" si="0"/>
        <v>370804.24299065419</v>
      </c>
    </row>
    <row r="20" spans="1:9" ht="16" x14ac:dyDescent="0.2">
      <c r="A20" s="14" t="s">
        <v>188</v>
      </c>
      <c r="B20" s="15" t="s">
        <v>401</v>
      </c>
      <c r="C20" s="16">
        <v>2630</v>
      </c>
      <c r="D20" s="16">
        <v>1391086</v>
      </c>
      <c r="E20" s="17" t="s">
        <v>434</v>
      </c>
      <c r="F20" s="507" t="s">
        <v>371</v>
      </c>
      <c r="G20" s="267" cm="1">
        <f t="array" ref="G20:H20">_xlfn.XLOOKUP(F20,B:B,C:D,0,0)</f>
        <v>1705</v>
      </c>
      <c r="H20" s="267">
        <v>780394</v>
      </c>
      <c r="I20" s="267">
        <f t="shared" si="0"/>
        <v>729340.18691588787</v>
      </c>
    </row>
    <row r="21" spans="1:9" ht="16" x14ac:dyDescent="0.2">
      <c r="A21" s="14" t="s">
        <v>104</v>
      </c>
      <c r="B21" s="15" t="s">
        <v>118</v>
      </c>
      <c r="C21" s="16">
        <v>2689</v>
      </c>
      <c r="D21" s="16">
        <v>1363201.5</v>
      </c>
      <c r="E21" s="17" t="s">
        <v>520</v>
      </c>
      <c r="F21" s="507" t="s">
        <v>586</v>
      </c>
      <c r="G21" s="267" cm="1">
        <f t="array" ref="G21">_xlfn.XLOOKUP(F21,B:B,C:D,0,0)</f>
        <v>0</v>
      </c>
      <c r="H21" s="267"/>
      <c r="I21" s="267">
        <f t="shared" si="0"/>
        <v>0</v>
      </c>
    </row>
    <row r="22" spans="1:9" ht="16" x14ac:dyDescent="0.2">
      <c r="A22" s="14" t="s">
        <v>106</v>
      </c>
      <c r="B22" s="15" t="s">
        <v>174</v>
      </c>
      <c r="C22" s="16">
        <v>2954</v>
      </c>
      <c r="D22" s="16">
        <v>1355399</v>
      </c>
      <c r="E22" s="17" t="s">
        <v>520</v>
      </c>
    </row>
    <row r="23" spans="1:9" ht="16" x14ac:dyDescent="0.2">
      <c r="A23" s="14" t="s">
        <v>108</v>
      </c>
      <c r="B23" s="15" t="s">
        <v>208</v>
      </c>
      <c r="C23" s="16">
        <v>2576</v>
      </c>
      <c r="D23" s="16">
        <v>1329973</v>
      </c>
      <c r="E23" s="17" t="s">
        <v>459</v>
      </c>
    </row>
    <row r="24" spans="1:9" ht="16" x14ac:dyDescent="0.2">
      <c r="A24" s="14" t="s">
        <v>179</v>
      </c>
      <c r="B24" s="15" t="s">
        <v>109</v>
      </c>
      <c r="C24" s="16">
        <v>3017</v>
      </c>
      <c r="D24" s="16">
        <v>1324828</v>
      </c>
      <c r="E24" s="17" t="s">
        <v>459</v>
      </c>
    </row>
    <row r="25" spans="1:9" ht="16" x14ac:dyDescent="0.2">
      <c r="A25" s="14" t="s">
        <v>110</v>
      </c>
      <c r="B25" s="15" t="s">
        <v>107</v>
      </c>
      <c r="C25" s="16">
        <v>2478</v>
      </c>
      <c r="D25" s="16">
        <v>1286829.5</v>
      </c>
      <c r="E25" s="17" t="s">
        <v>429</v>
      </c>
    </row>
    <row r="26" spans="1:9" ht="16" x14ac:dyDescent="0.2">
      <c r="A26" s="14" t="s">
        <v>112</v>
      </c>
      <c r="B26" s="15" t="s">
        <v>88</v>
      </c>
      <c r="C26" s="16">
        <v>2503</v>
      </c>
      <c r="D26" s="16">
        <v>1222613</v>
      </c>
      <c r="E26" s="17" t="s">
        <v>412</v>
      </c>
    </row>
    <row r="27" spans="1:9" ht="16" x14ac:dyDescent="0.2">
      <c r="A27" s="14" t="s">
        <v>113</v>
      </c>
      <c r="B27" s="15" t="s">
        <v>246</v>
      </c>
      <c r="C27" s="16">
        <v>3197</v>
      </c>
      <c r="D27" s="16">
        <v>1221787.5</v>
      </c>
      <c r="E27" s="17" t="s">
        <v>412</v>
      </c>
    </row>
    <row r="28" spans="1:9" ht="16" x14ac:dyDescent="0.2">
      <c r="A28" s="14" t="s">
        <v>115</v>
      </c>
      <c r="B28" s="15" t="s">
        <v>175</v>
      </c>
      <c r="C28" s="16">
        <v>2574</v>
      </c>
      <c r="D28" s="16">
        <v>1204375.5</v>
      </c>
      <c r="E28" s="17" t="s">
        <v>435</v>
      </c>
    </row>
    <row r="29" spans="1:9" ht="16" x14ac:dyDescent="0.2">
      <c r="A29" s="14" t="s">
        <v>117</v>
      </c>
      <c r="B29" s="15" t="s">
        <v>123</v>
      </c>
      <c r="C29" s="16">
        <v>2256</v>
      </c>
      <c r="D29" s="16">
        <v>1199059</v>
      </c>
      <c r="E29" s="17" t="s">
        <v>435</v>
      </c>
    </row>
    <row r="30" spans="1:9" ht="16" x14ac:dyDescent="0.2">
      <c r="A30" s="14" t="s">
        <v>119</v>
      </c>
      <c r="B30" s="15" t="s">
        <v>305</v>
      </c>
      <c r="C30" s="16">
        <v>2460</v>
      </c>
      <c r="D30" s="16">
        <v>1196967.29</v>
      </c>
      <c r="E30" s="17" t="s">
        <v>435</v>
      </c>
    </row>
    <row r="31" spans="1:9" ht="16" x14ac:dyDescent="0.2">
      <c r="A31" s="14" t="s">
        <v>120</v>
      </c>
      <c r="B31" s="15" t="s">
        <v>130</v>
      </c>
      <c r="C31" s="16">
        <v>2414</v>
      </c>
      <c r="D31" s="16">
        <v>1180213.5</v>
      </c>
      <c r="E31" s="17" t="s">
        <v>378</v>
      </c>
    </row>
    <row r="32" spans="1:9" ht="16" x14ac:dyDescent="0.2">
      <c r="A32" s="14" t="s">
        <v>122</v>
      </c>
      <c r="B32" s="15" t="s">
        <v>189</v>
      </c>
      <c r="C32" s="16">
        <v>53</v>
      </c>
      <c r="D32" s="16">
        <v>1174800</v>
      </c>
      <c r="E32" s="17" t="s">
        <v>403</v>
      </c>
    </row>
    <row r="33" spans="1:5" ht="16" x14ac:dyDescent="0.2">
      <c r="A33" s="14" t="s">
        <v>124</v>
      </c>
      <c r="B33" s="15" t="s">
        <v>45</v>
      </c>
      <c r="C33" s="16">
        <v>2259</v>
      </c>
      <c r="D33" s="16">
        <v>1159000.5</v>
      </c>
      <c r="E33" s="17" t="s">
        <v>447</v>
      </c>
    </row>
    <row r="34" spans="1:5" ht="16" x14ac:dyDescent="0.2">
      <c r="A34" s="14" t="s">
        <v>126</v>
      </c>
      <c r="B34" s="15" t="s">
        <v>5</v>
      </c>
      <c r="C34" s="16">
        <v>2134</v>
      </c>
      <c r="D34" s="16">
        <v>1101680</v>
      </c>
      <c r="E34" s="17" t="s">
        <v>293</v>
      </c>
    </row>
    <row r="35" spans="1:5" ht="16" x14ac:dyDescent="0.2">
      <c r="A35" s="14" t="s">
        <v>190</v>
      </c>
      <c r="B35" s="15" t="s">
        <v>206</v>
      </c>
      <c r="C35" s="16">
        <v>2319</v>
      </c>
      <c r="D35" s="16">
        <v>1101673</v>
      </c>
      <c r="E35" s="17" t="s">
        <v>293</v>
      </c>
    </row>
    <row r="36" spans="1:5" ht="16" x14ac:dyDescent="0.2">
      <c r="A36" s="14" t="s">
        <v>128</v>
      </c>
      <c r="B36" s="15" t="s">
        <v>445</v>
      </c>
      <c r="C36" s="16">
        <v>2425</v>
      </c>
      <c r="D36" s="16">
        <v>1050907</v>
      </c>
      <c r="E36" s="17" t="s">
        <v>467</v>
      </c>
    </row>
    <row r="37" spans="1:5" ht="16" x14ac:dyDescent="0.2">
      <c r="A37" s="14" t="s">
        <v>191</v>
      </c>
      <c r="B37" s="15" t="s">
        <v>143</v>
      </c>
      <c r="C37" s="16">
        <v>2210</v>
      </c>
      <c r="D37" s="16">
        <v>1050187</v>
      </c>
      <c r="E37" s="17" t="s">
        <v>467</v>
      </c>
    </row>
    <row r="38" spans="1:5" ht="16" x14ac:dyDescent="0.2">
      <c r="A38" s="14" t="s">
        <v>131</v>
      </c>
      <c r="B38" s="15" t="s">
        <v>100</v>
      </c>
      <c r="C38" s="16">
        <v>2283</v>
      </c>
      <c r="D38" s="16">
        <v>1034170.58</v>
      </c>
      <c r="E38" s="17" t="s">
        <v>475</v>
      </c>
    </row>
    <row r="39" spans="1:5" ht="16" x14ac:dyDescent="0.2">
      <c r="A39" s="14" t="s">
        <v>133</v>
      </c>
      <c r="B39" s="15" t="s">
        <v>46</v>
      </c>
      <c r="C39" s="16">
        <v>2466</v>
      </c>
      <c r="D39" s="16">
        <v>1029033.5</v>
      </c>
      <c r="E39" s="17" t="s">
        <v>475</v>
      </c>
    </row>
    <row r="40" spans="1:5" ht="16" x14ac:dyDescent="0.2">
      <c r="A40" s="14" t="s">
        <v>135</v>
      </c>
      <c r="B40" s="15" t="s">
        <v>252</v>
      </c>
      <c r="C40" s="16">
        <v>2341</v>
      </c>
      <c r="D40" s="16">
        <v>1021046.26</v>
      </c>
      <c r="E40" s="17" t="s">
        <v>448</v>
      </c>
    </row>
    <row r="41" spans="1:5" ht="16" x14ac:dyDescent="0.2">
      <c r="A41" s="14" t="s">
        <v>137</v>
      </c>
      <c r="B41" s="15" t="s">
        <v>151</v>
      </c>
      <c r="C41" s="16">
        <v>1967</v>
      </c>
      <c r="D41" s="16">
        <v>997340.92999999993</v>
      </c>
      <c r="E41" s="17" t="s">
        <v>432</v>
      </c>
    </row>
    <row r="42" spans="1:5" ht="16" x14ac:dyDescent="0.2">
      <c r="A42" s="14" t="s">
        <v>139</v>
      </c>
      <c r="B42" s="15" t="s">
        <v>3</v>
      </c>
      <c r="C42" s="16">
        <v>2416</v>
      </c>
      <c r="D42" s="16">
        <v>989396.5</v>
      </c>
      <c r="E42" s="17" t="s">
        <v>432</v>
      </c>
    </row>
    <row r="43" spans="1:5" ht="16" x14ac:dyDescent="0.2">
      <c r="A43" s="14" t="s">
        <v>141</v>
      </c>
      <c r="B43" s="15" t="s">
        <v>132</v>
      </c>
      <c r="C43" s="16">
        <v>1843</v>
      </c>
      <c r="D43" s="16">
        <v>982007.5</v>
      </c>
      <c r="E43" s="17" t="s">
        <v>468</v>
      </c>
    </row>
    <row r="44" spans="1:5" ht="16" x14ac:dyDescent="0.2">
      <c r="A44" s="14" t="s">
        <v>142</v>
      </c>
      <c r="B44" s="15" t="s">
        <v>140</v>
      </c>
      <c r="C44" s="16">
        <v>2011</v>
      </c>
      <c r="D44" s="16">
        <v>979113.5</v>
      </c>
      <c r="E44" s="17" t="s">
        <v>468</v>
      </c>
    </row>
    <row r="45" spans="1:5" ht="16" x14ac:dyDescent="0.2">
      <c r="A45" s="14" t="s">
        <v>144</v>
      </c>
      <c r="B45" s="15" t="s">
        <v>1</v>
      </c>
      <c r="C45" s="16">
        <v>1757</v>
      </c>
      <c r="D45" s="16">
        <v>973986.2</v>
      </c>
      <c r="E45" s="17" t="s">
        <v>468</v>
      </c>
    </row>
    <row r="46" spans="1:5" ht="16" x14ac:dyDescent="0.2">
      <c r="A46" s="14" t="s">
        <v>146</v>
      </c>
      <c r="B46" s="15" t="s">
        <v>121</v>
      </c>
      <c r="C46" s="16">
        <v>1852</v>
      </c>
      <c r="D46" s="16">
        <v>953389.5</v>
      </c>
      <c r="E46" s="17" t="s">
        <v>333</v>
      </c>
    </row>
    <row r="47" spans="1:5" ht="16" x14ac:dyDescent="0.2">
      <c r="A47" s="14" t="s">
        <v>180</v>
      </c>
      <c r="B47" s="15" t="s">
        <v>346</v>
      </c>
      <c r="C47" s="16">
        <v>1981</v>
      </c>
      <c r="D47" s="16">
        <v>946647</v>
      </c>
      <c r="E47" s="17" t="s">
        <v>333</v>
      </c>
    </row>
    <row r="48" spans="1:5" ht="16" x14ac:dyDescent="0.2">
      <c r="A48" s="14" t="s">
        <v>147</v>
      </c>
      <c r="B48" s="15" t="s">
        <v>125</v>
      </c>
      <c r="C48" s="16">
        <v>1694</v>
      </c>
      <c r="D48" s="16">
        <v>939354</v>
      </c>
      <c r="E48" s="17" t="s">
        <v>333</v>
      </c>
    </row>
    <row r="49" spans="1:5" ht="16" x14ac:dyDescent="0.2">
      <c r="A49" s="14" t="s">
        <v>149</v>
      </c>
      <c r="B49" s="15" t="s">
        <v>306</v>
      </c>
      <c r="C49" s="16">
        <v>2013</v>
      </c>
      <c r="D49" s="16">
        <v>920696.51</v>
      </c>
      <c r="E49" s="17" t="s">
        <v>413</v>
      </c>
    </row>
    <row r="50" spans="1:5" ht="16" x14ac:dyDescent="0.2">
      <c r="A50" s="14" t="s">
        <v>150</v>
      </c>
      <c r="B50" s="15" t="s">
        <v>134</v>
      </c>
      <c r="C50" s="16">
        <v>2173</v>
      </c>
      <c r="D50" s="16">
        <v>895200.92999999993</v>
      </c>
      <c r="E50" s="17" t="s">
        <v>499</v>
      </c>
    </row>
    <row r="51" spans="1:5" ht="16" x14ac:dyDescent="0.2">
      <c r="A51" s="14" t="s">
        <v>152</v>
      </c>
      <c r="B51" s="15" t="s">
        <v>362</v>
      </c>
      <c r="C51" s="16">
        <v>1640</v>
      </c>
      <c r="D51" s="16">
        <v>853608</v>
      </c>
      <c r="E51" s="17" t="s">
        <v>436</v>
      </c>
    </row>
    <row r="52" spans="1:5" ht="16" x14ac:dyDescent="0.2">
      <c r="A52" s="14" t="s">
        <v>153</v>
      </c>
      <c r="B52" s="15" t="s">
        <v>102</v>
      </c>
      <c r="C52" s="16">
        <v>1769</v>
      </c>
      <c r="D52" s="16">
        <v>814290.5</v>
      </c>
      <c r="E52" s="17" t="s">
        <v>381</v>
      </c>
    </row>
    <row r="53" spans="1:5" ht="16" x14ac:dyDescent="0.2">
      <c r="A53" s="14" t="s">
        <v>155</v>
      </c>
      <c r="B53" s="15" t="s">
        <v>129</v>
      </c>
      <c r="C53" s="16">
        <v>1740</v>
      </c>
      <c r="D53" s="16">
        <v>811963</v>
      </c>
      <c r="E53" s="17" t="s">
        <v>381</v>
      </c>
    </row>
    <row r="54" spans="1:5" ht="16" x14ac:dyDescent="0.2">
      <c r="A54" s="14" t="s">
        <v>157</v>
      </c>
      <c r="B54" s="15" t="s">
        <v>127</v>
      </c>
      <c r="C54" s="16">
        <v>1801</v>
      </c>
      <c r="D54" s="16">
        <v>807767</v>
      </c>
      <c r="E54" s="17" t="s">
        <v>381</v>
      </c>
    </row>
    <row r="55" spans="1:5" ht="16" x14ac:dyDescent="0.2">
      <c r="A55" s="14" t="s">
        <v>192</v>
      </c>
      <c r="B55" s="15" t="s">
        <v>370</v>
      </c>
      <c r="C55" s="16">
        <v>1888</v>
      </c>
      <c r="D55" s="16">
        <v>807503</v>
      </c>
      <c r="E55" s="17" t="s">
        <v>381</v>
      </c>
    </row>
    <row r="56" spans="1:5" ht="16" x14ac:dyDescent="0.2">
      <c r="A56" s="14" t="s">
        <v>159</v>
      </c>
      <c r="B56" s="15" t="s">
        <v>145</v>
      </c>
      <c r="C56" s="16">
        <v>1638</v>
      </c>
      <c r="D56" s="16">
        <v>793928</v>
      </c>
      <c r="E56" s="17" t="s">
        <v>336</v>
      </c>
    </row>
    <row r="57" spans="1:5" ht="16" x14ac:dyDescent="0.2">
      <c r="A57" s="14" t="s">
        <v>160</v>
      </c>
      <c r="B57" s="15" t="s">
        <v>138</v>
      </c>
      <c r="C57" s="16">
        <v>1662</v>
      </c>
      <c r="D57" s="16">
        <v>784810.5</v>
      </c>
      <c r="E57" s="17" t="s">
        <v>336</v>
      </c>
    </row>
    <row r="58" spans="1:5" ht="16" x14ac:dyDescent="0.2">
      <c r="A58" s="14" t="s">
        <v>193</v>
      </c>
      <c r="B58" s="15" t="s">
        <v>203</v>
      </c>
      <c r="C58" s="16">
        <v>2366</v>
      </c>
      <c r="D58" s="16">
        <v>780731</v>
      </c>
      <c r="E58" s="17" t="s">
        <v>340</v>
      </c>
    </row>
    <row r="59" spans="1:5" ht="16" x14ac:dyDescent="0.2">
      <c r="A59" s="14" t="s">
        <v>162</v>
      </c>
      <c r="B59" s="15" t="s">
        <v>371</v>
      </c>
      <c r="C59" s="16">
        <v>1705</v>
      </c>
      <c r="D59" s="16">
        <v>780394</v>
      </c>
      <c r="E59" s="17" t="s">
        <v>340</v>
      </c>
    </row>
    <row r="60" spans="1:5" ht="16" x14ac:dyDescent="0.2">
      <c r="A60" s="14" t="s">
        <v>194</v>
      </c>
      <c r="B60" s="15" t="s">
        <v>359</v>
      </c>
      <c r="C60" s="16">
        <v>1408</v>
      </c>
      <c r="D60" s="16">
        <v>770581</v>
      </c>
      <c r="E60" s="17" t="s">
        <v>340</v>
      </c>
    </row>
    <row r="61" spans="1:5" ht="16" x14ac:dyDescent="0.2">
      <c r="A61" s="14" t="s">
        <v>163</v>
      </c>
      <c r="B61" s="15" t="s">
        <v>116</v>
      </c>
      <c r="C61" s="16">
        <v>1371</v>
      </c>
      <c r="D61" s="16">
        <v>765501</v>
      </c>
      <c r="E61" s="17" t="s">
        <v>340</v>
      </c>
    </row>
    <row r="62" spans="1:5" ht="16" x14ac:dyDescent="0.2">
      <c r="A62" s="14" t="s">
        <v>164</v>
      </c>
      <c r="B62" s="15" t="s">
        <v>341</v>
      </c>
      <c r="C62" s="16">
        <v>1891</v>
      </c>
      <c r="D62" s="16">
        <v>762849</v>
      </c>
      <c r="E62" s="17" t="s">
        <v>469</v>
      </c>
    </row>
    <row r="63" spans="1:5" ht="16" x14ac:dyDescent="0.2">
      <c r="A63" s="14" t="s">
        <v>165</v>
      </c>
      <c r="B63" s="15" t="s">
        <v>173</v>
      </c>
      <c r="C63" s="16">
        <v>1447</v>
      </c>
      <c r="D63" s="16">
        <v>719550.5</v>
      </c>
      <c r="E63" s="17" t="s">
        <v>523</v>
      </c>
    </row>
    <row r="64" spans="1:5" ht="16" x14ac:dyDescent="0.2">
      <c r="A64" s="14" t="s">
        <v>166</v>
      </c>
      <c r="B64" s="15" t="s">
        <v>284</v>
      </c>
      <c r="C64" s="16">
        <v>1785</v>
      </c>
      <c r="D64" s="16">
        <v>719080.2</v>
      </c>
      <c r="E64" s="17" t="s">
        <v>523</v>
      </c>
    </row>
    <row r="65" spans="1:5" ht="16" x14ac:dyDescent="0.2">
      <c r="A65" s="14" t="s">
        <v>195</v>
      </c>
      <c r="B65" s="15" t="s">
        <v>291</v>
      </c>
      <c r="C65" s="16">
        <v>1584</v>
      </c>
      <c r="D65" s="16">
        <v>695770</v>
      </c>
      <c r="E65" s="17" t="s">
        <v>433</v>
      </c>
    </row>
    <row r="66" spans="1:5" ht="16" x14ac:dyDescent="0.2">
      <c r="A66" s="14" t="s">
        <v>167</v>
      </c>
      <c r="B66" s="15" t="s">
        <v>80</v>
      </c>
      <c r="C66" s="16">
        <v>1252</v>
      </c>
      <c r="D66" s="16">
        <v>691868</v>
      </c>
      <c r="E66" s="17" t="s">
        <v>433</v>
      </c>
    </row>
    <row r="67" spans="1:5" ht="16" x14ac:dyDescent="0.2">
      <c r="A67" s="14" t="s">
        <v>181</v>
      </c>
      <c r="B67" s="15" t="s">
        <v>238</v>
      </c>
      <c r="C67" s="16">
        <v>3389</v>
      </c>
      <c r="D67" s="16">
        <v>686823.5</v>
      </c>
      <c r="E67" s="17" t="s">
        <v>433</v>
      </c>
    </row>
    <row r="68" spans="1:5" ht="16" x14ac:dyDescent="0.2">
      <c r="A68" s="14" t="s">
        <v>168</v>
      </c>
      <c r="B68" s="15" t="s">
        <v>47</v>
      </c>
      <c r="C68" s="16">
        <v>1476</v>
      </c>
      <c r="D68" s="16">
        <v>673558</v>
      </c>
      <c r="E68" s="17" t="s">
        <v>476</v>
      </c>
    </row>
    <row r="69" spans="1:5" ht="16" x14ac:dyDescent="0.2">
      <c r="A69" s="14" t="s">
        <v>182</v>
      </c>
      <c r="B69" s="15" t="s">
        <v>136</v>
      </c>
      <c r="C69" s="16">
        <v>1172</v>
      </c>
      <c r="D69" s="16">
        <v>669665</v>
      </c>
      <c r="E69" s="17" t="s">
        <v>476</v>
      </c>
    </row>
    <row r="70" spans="1:5" ht="16" x14ac:dyDescent="0.2">
      <c r="A70" s="14" t="s">
        <v>184</v>
      </c>
      <c r="B70" s="15" t="s">
        <v>148</v>
      </c>
      <c r="C70" s="16">
        <v>1525</v>
      </c>
      <c r="D70" s="16">
        <v>649070</v>
      </c>
      <c r="E70" s="17" t="s">
        <v>449</v>
      </c>
    </row>
    <row r="71" spans="1:5" ht="16" x14ac:dyDescent="0.2">
      <c r="A71" s="14" t="s">
        <v>199</v>
      </c>
      <c r="B71" s="15" t="s">
        <v>161</v>
      </c>
      <c r="C71" s="16">
        <v>1346</v>
      </c>
      <c r="D71" s="16">
        <v>638815</v>
      </c>
      <c r="E71" s="17" t="s">
        <v>430</v>
      </c>
    </row>
    <row r="72" spans="1:5" ht="16" x14ac:dyDescent="0.2">
      <c r="A72" s="14" t="s">
        <v>200</v>
      </c>
      <c r="B72" s="15" t="s">
        <v>243</v>
      </c>
      <c r="C72" s="16">
        <v>1319</v>
      </c>
      <c r="D72" s="16">
        <v>633531</v>
      </c>
      <c r="E72" s="17" t="s">
        <v>430</v>
      </c>
    </row>
    <row r="73" spans="1:5" ht="16" x14ac:dyDescent="0.2">
      <c r="A73" s="14" t="s">
        <v>209</v>
      </c>
      <c r="B73" s="15" t="s">
        <v>290</v>
      </c>
      <c r="C73" s="16">
        <v>1492</v>
      </c>
      <c r="D73" s="16">
        <v>633447</v>
      </c>
      <c r="E73" s="17" t="s">
        <v>430</v>
      </c>
    </row>
    <row r="74" spans="1:5" ht="16" x14ac:dyDescent="0.2">
      <c r="A74" s="14" t="s">
        <v>210</v>
      </c>
      <c r="B74" s="15" t="s">
        <v>154</v>
      </c>
      <c r="C74" s="16">
        <v>1388</v>
      </c>
      <c r="D74" s="16">
        <v>626735.5</v>
      </c>
      <c r="E74" s="17" t="s">
        <v>427</v>
      </c>
    </row>
    <row r="75" spans="1:5" ht="16" x14ac:dyDescent="0.2">
      <c r="A75" s="14" t="s">
        <v>211</v>
      </c>
      <c r="B75" s="15" t="s">
        <v>283</v>
      </c>
      <c r="C75" s="16">
        <v>1172</v>
      </c>
      <c r="D75" s="16">
        <v>612677.5</v>
      </c>
      <c r="E75" s="17" t="s">
        <v>427</v>
      </c>
    </row>
    <row r="76" spans="1:5" ht="16" x14ac:dyDescent="0.2">
      <c r="A76" s="14" t="s">
        <v>215</v>
      </c>
      <c r="B76" s="15" t="s">
        <v>158</v>
      </c>
      <c r="C76" s="16">
        <v>1315</v>
      </c>
      <c r="D76" s="16">
        <v>610704.5</v>
      </c>
      <c r="E76" s="17" t="s">
        <v>427</v>
      </c>
    </row>
    <row r="77" spans="1:5" ht="16" x14ac:dyDescent="0.2">
      <c r="A77" s="14" t="s">
        <v>216</v>
      </c>
      <c r="B77" s="15" t="s">
        <v>156</v>
      </c>
      <c r="C77" s="16">
        <v>1169</v>
      </c>
      <c r="D77" s="16">
        <v>605028</v>
      </c>
      <c r="E77" s="17" t="s">
        <v>437</v>
      </c>
    </row>
    <row r="78" spans="1:5" ht="16" x14ac:dyDescent="0.2">
      <c r="A78" s="14" t="s">
        <v>244</v>
      </c>
      <c r="B78" s="15" t="s">
        <v>196</v>
      </c>
      <c r="C78" s="16">
        <v>1183</v>
      </c>
      <c r="D78" s="16">
        <v>575938</v>
      </c>
      <c r="E78" s="17" t="s">
        <v>421</v>
      </c>
    </row>
    <row r="79" spans="1:5" ht="16" x14ac:dyDescent="0.2">
      <c r="A79" s="14" t="s">
        <v>245</v>
      </c>
      <c r="B79" s="15" t="s">
        <v>183</v>
      </c>
      <c r="C79" s="16">
        <v>1151</v>
      </c>
      <c r="D79" s="16">
        <v>565481</v>
      </c>
      <c r="E79" s="17" t="s">
        <v>421</v>
      </c>
    </row>
    <row r="80" spans="1:5" ht="16" x14ac:dyDescent="0.2">
      <c r="A80" s="14" t="s">
        <v>295</v>
      </c>
      <c r="B80" s="15" t="s">
        <v>422</v>
      </c>
      <c r="C80" s="16">
        <v>1058</v>
      </c>
      <c r="D80" s="16">
        <v>501685.01</v>
      </c>
      <c r="E80" s="17" t="s">
        <v>540</v>
      </c>
    </row>
    <row r="81" spans="1:5" ht="16" x14ac:dyDescent="0.2">
      <c r="A81" s="14" t="s">
        <v>296</v>
      </c>
      <c r="B81" s="15" t="s">
        <v>348</v>
      </c>
      <c r="C81" s="16">
        <v>966</v>
      </c>
      <c r="D81" s="16">
        <v>476470.41</v>
      </c>
      <c r="E81" s="17" t="s">
        <v>519</v>
      </c>
    </row>
    <row r="82" spans="1:5" ht="16" x14ac:dyDescent="0.2">
      <c r="A82" s="14" t="s">
        <v>297</v>
      </c>
      <c r="B82" s="15" t="s">
        <v>44</v>
      </c>
      <c r="C82" s="16">
        <v>1325</v>
      </c>
      <c r="D82" s="16">
        <v>455833.5</v>
      </c>
      <c r="E82" s="17" t="s">
        <v>470</v>
      </c>
    </row>
    <row r="83" spans="1:5" ht="16" x14ac:dyDescent="0.2">
      <c r="A83" s="14" t="s">
        <v>298</v>
      </c>
      <c r="B83" s="15" t="s">
        <v>339</v>
      </c>
      <c r="C83" s="16">
        <v>918</v>
      </c>
      <c r="D83" s="16">
        <v>441538.31</v>
      </c>
      <c r="E83" s="17" t="s">
        <v>470</v>
      </c>
    </row>
    <row r="84" spans="1:5" ht="16" x14ac:dyDescent="0.2">
      <c r="A84" s="14" t="s">
        <v>299</v>
      </c>
      <c r="B84" s="15" t="s">
        <v>292</v>
      </c>
      <c r="C84" s="16">
        <v>870</v>
      </c>
      <c r="D84" s="16">
        <v>396760.54</v>
      </c>
      <c r="E84" s="17" t="s">
        <v>477</v>
      </c>
    </row>
    <row r="85" spans="1:5" ht="16" x14ac:dyDescent="0.2">
      <c r="A85" s="14" t="s">
        <v>307</v>
      </c>
      <c r="B85" s="15" t="s">
        <v>342</v>
      </c>
      <c r="C85" s="16">
        <v>840</v>
      </c>
      <c r="D85" s="16">
        <v>389272</v>
      </c>
      <c r="E85" s="17" t="s">
        <v>477</v>
      </c>
    </row>
    <row r="86" spans="1:5" ht="16" x14ac:dyDescent="0.2">
      <c r="A86" s="14" t="s">
        <v>312</v>
      </c>
      <c r="B86" s="15" t="s">
        <v>361</v>
      </c>
      <c r="C86" s="16">
        <v>742</v>
      </c>
      <c r="D86" s="16">
        <v>384029.5</v>
      </c>
      <c r="E86" s="17" t="s">
        <v>411</v>
      </c>
    </row>
    <row r="87" spans="1:5" ht="16" x14ac:dyDescent="0.2">
      <c r="A87" s="14" t="s">
        <v>313</v>
      </c>
      <c r="B87" s="15" t="s">
        <v>43</v>
      </c>
      <c r="C87" s="16">
        <v>1019</v>
      </c>
      <c r="D87" s="16">
        <v>344049</v>
      </c>
      <c r="E87" s="17" t="s">
        <v>516</v>
      </c>
    </row>
    <row r="88" spans="1:5" ht="16" x14ac:dyDescent="0.2">
      <c r="A88" s="14" t="s">
        <v>331</v>
      </c>
      <c r="B88" s="15" t="s">
        <v>450</v>
      </c>
      <c r="C88" s="16">
        <v>811</v>
      </c>
      <c r="D88" s="16">
        <v>311974</v>
      </c>
      <c r="E88" s="17" t="s">
        <v>490</v>
      </c>
    </row>
    <row r="89" spans="1:5" ht="16" x14ac:dyDescent="0.2">
      <c r="A89" s="14" t="s">
        <v>349</v>
      </c>
      <c r="B89" s="15" t="s">
        <v>451</v>
      </c>
      <c r="C89" s="16">
        <v>803</v>
      </c>
      <c r="D89" s="16">
        <v>284638</v>
      </c>
      <c r="E89" s="17" t="s">
        <v>506</v>
      </c>
    </row>
    <row r="90" spans="1:5" ht="16" x14ac:dyDescent="0.2">
      <c r="A90" s="14" t="s">
        <v>350</v>
      </c>
      <c r="B90" s="15" t="s">
        <v>491</v>
      </c>
      <c r="C90" s="16">
        <v>603</v>
      </c>
      <c r="D90" s="16">
        <v>216806</v>
      </c>
      <c r="E90" s="17" t="s">
        <v>542</v>
      </c>
    </row>
    <row r="91" spans="1:5" ht="16" x14ac:dyDescent="0.2">
      <c r="A91" s="14" t="s">
        <v>354</v>
      </c>
      <c r="B91" s="15" t="s">
        <v>6</v>
      </c>
      <c r="C91" s="16">
        <v>538</v>
      </c>
      <c r="D91" s="16">
        <v>208440</v>
      </c>
      <c r="E91" s="17" t="s">
        <v>471</v>
      </c>
    </row>
    <row r="92" spans="1:5" ht="16" x14ac:dyDescent="0.2">
      <c r="A92" s="14" t="s">
        <v>355</v>
      </c>
      <c r="B92" s="15" t="s">
        <v>7</v>
      </c>
      <c r="C92" s="16">
        <v>522</v>
      </c>
      <c r="D92" s="16">
        <v>188030</v>
      </c>
      <c r="E92" s="17" t="s">
        <v>439</v>
      </c>
    </row>
    <row r="93" spans="1:5" ht="16" x14ac:dyDescent="0.2">
      <c r="A93" s="14" t="s">
        <v>356</v>
      </c>
      <c r="B93" s="15" t="s">
        <v>414</v>
      </c>
      <c r="C93" s="16">
        <v>456</v>
      </c>
      <c r="D93" s="16">
        <v>171202</v>
      </c>
      <c r="E93" s="17" t="s">
        <v>487</v>
      </c>
    </row>
    <row r="94" spans="1:5" ht="16" x14ac:dyDescent="0.2">
      <c r="A94" s="14" t="s">
        <v>363</v>
      </c>
      <c r="B94" s="15" t="s">
        <v>479</v>
      </c>
      <c r="C94" s="16">
        <v>409</v>
      </c>
      <c r="D94" s="16">
        <v>118188</v>
      </c>
      <c r="E94" s="17" t="s">
        <v>524</v>
      </c>
    </row>
    <row r="95" spans="1:5" ht="16" x14ac:dyDescent="0.2">
      <c r="A95" s="14" t="s">
        <v>364</v>
      </c>
      <c r="B95" s="15" t="s">
        <v>357</v>
      </c>
      <c r="C95" s="16">
        <v>350</v>
      </c>
      <c r="D95" s="16">
        <v>113390</v>
      </c>
      <c r="E95" s="17" t="s">
        <v>524</v>
      </c>
    </row>
    <row r="96" spans="1:5" ht="16" x14ac:dyDescent="0.2">
      <c r="A96" s="14" t="s">
        <v>388</v>
      </c>
      <c r="B96" s="15" t="s">
        <v>409</v>
      </c>
      <c r="C96" s="16">
        <v>125</v>
      </c>
      <c r="D96" s="16">
        <v>64860</v>
      </c>
      <c r="E96" s="17" t="s">
        <v>525</v>
      </c>
    </row>
    <row r="97" spans="1:5" ht="16" x14ac:dyDescent="0.2">
      <c r="A97" s="14" t="s">
        <v>389</v>
      </c>
      <c r="B97" s="15" t="s">
        <v>543</v>
      </c>
      <c r="C97" s="16">
        <v>149</v>
      </c>
      <c r="D97" s="16">
        <v>48832</v>
      </c>
      <c r="E97" s="17" t="s">
        <v>493</v>
      </c>
    </row>
    <row r="98" spans="1:5" ht="16" x14ac:dyDescent="0.2">
      <c r="A98" s="14" t="s">
        <v>390</v>
      </c>
      <c r="B98" s="15" t="s">
        <v>478</v>
      </c>
      <c r="C98" s="16">
        <v>68</v>
      </c>
      <c r="D98" s="16">
        <v>40710</v>
      </c>
      <c r="E98" s="17" t="s">
        <v>423</v>
      </c>
    </row>
    <row r="99" spans="1:5" ht="16" x14ac:dyDescent="0.2">
      <c r="A99" s="14" t="s">
        <v>391</v>
      </c>
      <c r="B99" s="15" t="s">
        <v>332</v>
      </c>
      <c r="C99" s="16">
        <v>75</v>
      </c>
      <c r="D99" s="16">
        <v>16194</v>
      </c>
      <c r="E99" s="17" t="s">
        <v>440</v>
      </c>
    </row>
    <row r="100" spans="1:5" ht="16" x14ac:dyDescent="0.2">
      <c r="A100" s="14" t="s">
        <v>392</v>
      </c>
      <c r="B100" s="15" t="s">
        <v>410</v>
      </c>
      <c r="C100" s="16">
        <v>28</v>
      </c>
      <c r="D100" s="16">
        <v>13310</v>
      </c>
      <c r="E100" s="17" t="s">
        <v>440</v>
      </c>
    </row>
    <row r="101" spans="1:5" ht="16" x14ac:dyDescent="0.2">
      <c r="A101" s="14" t="s">
        <v>405</v>
      </c>
      <c r="B101" s="15" t="s">
        <v>376</v>
      </c>
      <c r="C101" s="16">
        <v>32</v>
      </c>
      <c r="D101" s="16">
        <v>10333</v>
      </c>
      <c r="E101" s="17" t="s">
        <v>440</v>
      </c>
    </row>
    <row r="102" spans="1:5" ht="16" x14ac:dyDescent="0.2">
      <c r="A102" s="14" t="s">
        <v>406</v>
      </c>
      <c r="B102" s="15" t="s">
        <v>526</v>
      </c>
      <c r="C102" s="16">
        <v>31</v>
      </c>
      <c r="D102" s="16">
        <v>8500</v>
      </c>
      <c r="E102" s="17" t="s">
        <v>228</v>
      </c>
    </row>
    <row r="103" spans="1:5" ht="16" x14ac:dyDescent="0.2">
      <c r="A103" s="14" t="s">
        <v>473</v>
      </c>
      <c r="B103" s="15" t="s">
        <v>452</v>
      </c>
      <c r="C103" s="16">
        <v>7</v>
      </c>
      <c r="D103" s="16">
        <v>4184</v>
      </c>
      <c r="E103" s="17" t="s">
        <v>228</v>
      </c>
    </row>
    <row r="104" spans="1:5" ht="16" x14ac:dyDescent="0.2">
      <c r="A104" s="14" t="s">
        <v>481</v>
      </c>
      <c r="B104" s="15" t="s">
        <v>418</v>
      </c>
      <c r="C104" s="16">
        <v>0</v>
      </c>
      <c r="D104" s="16">
        <v>0</v>
      </c>
      <c r="E104" s="17" t="s">
        <v>228</v>
      </c>
    </row>
    <row r="105" spans="1:5" ht="16" x14ac:dyDescent="0.2">
      <c r="A105" s="14" t="s">
        <v>483</v>
      </c>
      <c r="B105" s="15" t="s">
        <v>453</v>
      </c>
      <c r="C105" s="16">
        <v>0</v>
      </c>
      <c r="D105" s="16">
        <v>0</v>
      </c>
      <c r="E105" s="17" t="s">
        <v>228</v>
      </c>
    </row>
    <row r="106" spans="1:5" ht="16" x14ac:dyDescent="0.2">
      <c r="A106" s="14" t="s">
        <v>484</v>
      </c>
      <c r="B106" s="15" t="s">
        <v>472</v>
      </c>
      <c r="C106" s="16">
        <v>0</v>
      </c>
      <c r="D106" s="16">
        <v>0</v>
      </c>
      <c r="E106" s="17" t="s">
        <v>228</v>
      </c>
    </row>
    <row r="107" spans="1:5" ht="16" x14ac:dyDescent="0.2">
      <c r="A107" s="14" t="s">
        <v>485</v>
      </c>
      <c r="B107" s="15" t="s">
        <v>480</v>
      </c>
      <c r="C107" s="16">
        <v>0</v>
      </c>
      <c r="D107" s="16">
        <v>0</v>
      </c>
      <c r="E107" s="17" t="s">
        <v>228</v>
      </c>
    </row>
    <row r="108" spans="1:5" ht="16" x14ac:dyDescent="0.2">
      <c r="A108" s="14" t="s">
        <v>494</v>
      </c>
      <c r="B108" s="15" t="s">
        <v>482</v>
      </c>
      <c r="C108" s="16">
        <v>0</v>
      </c>
      <c r="D108" s="16">
        <v>0</v>
      </c>
      <c r="E108" s="17" t="s">
        <v>228</v>
      </c>
    </row>
    <row r="109" spans="1:5" ht="16" x14ac:dyDescent="0.2">
      <c r="A109" s="14" t="s">
        <v>517</v>
      </c>
      <c r="B109" s="15" t="s">
        <v>387</v>
      </c>
      <c r="C109" s="16">
        <v>0</v>
      </c>
      <c r="D109" s="16">
        <v>0</v>
      </c>
      <c r="E109" s="17" t="s">
        <v>228</v>
      </c>
    </row>
    <row r="110" spans="1:5" ht="16" x14ac:dyDescent="0.2">
      <c r="A110" s="14" t="s">
        <v>527</v>
      </c>
      <c r="B110" s="15" t="s">
        <v>486</v>
      </c>
      <c r="C110" s="16">
        <v>0</v>
      </c>
      <c r="D110" s="16">
        <v>0</v>
      </c>
      <c r="E110" s="17" t="s">
        <v>228</v>
      </c>
    </row>
    <row r="111" spans="1:5" ht="16" x14ac:dyDescent="0.2">
      <c r="A111" s="14" t="s">
        <v>544</v>
      </c>
      <c r="B111" s="15" t="s">
        <v>334</v>
      </c>
      <c r="C111" s="16">
        <v>-46</v>
      </c>
      <c r="D111" s="16">
        <v>-6120</v>
      </c>
      <c r="E111" s="17" t="s">
        <v>335</v>
      </c>
    </row>
    <row r="112" spans="1:5" ht="16" x14ac:dyDescent="0.2">
      <c r="A112" s="14" t="s">
        <v>545</v>
      </c>
      <c r="B112" s="15" t="s">
        <v>230</v>
      </c>
      <c r="C112" s="16">
        <v>-4778</v>
      </c>
      <c r="D112" s="16">
        <v>-1543509.4899999998</v>
      </c>
      <c r="E112" s="17" t="s">
        <v>528</v>
      </c>
    </row>
    <row r="114" spans="2:3" ht="16" x14ac:dyDescent="0.2">
      <c r="B114" s="14" t="s">
        <v>169</v>
      </c>
      <c r="C114" s="18" t="s">
        <v>170</v>
      </c>
    </row>
    <row r="115" spans="2:3" ht="16" x14ac:dyDescent="0.2">
      <c r="B115" s="14" t="s">
        <v>171</v>
      </c>
      <c r="C115" s="18" t="s">
        <v>561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0A8C-E6AD-A348-B14A-4C516DFA2ED9}">
  <sheetPr>
    <tabColor rgb="FF04A402"/>
  </sheetPr>
  <dimension ref="B1:AY19"/>
  <sheetViews>
    <sheetView zoomScale="88" zoomScaleNormal="88" workbookViewId="0">
      <pane xSplit="2" topLeftCell="C1" activePane="topRight" state="frozen"/>
      <selection pane="topRight" activeCell="J9" sqref="J9"/>
    </sheetView>
  </sheetViews>
  <sheetFormatPr baseColWidth="10" defaultRowHeight="24" x14ac:dyDescent="0.15"/>
  <cols>
    <col min="1" max="1" width="7.85546875" style="63" customWidth="1"/>
    <col min="2" max="2" width="19.140625" style="61" customWidth="1"/>
    <col min="3" max="3" width="14.28515625" style="63" customWidth="1"/>
    <col min="4" max="16384" width="10.7109375" style="63"/>
  </cols>
  <sheetData>
    <row r="1" spans="2:51" ht="14" customHeight="1" x14ac:dyDescent="0.15"/>
    <row r="2" spans="2:51" ht="33" customHeight="1" x14ac:dyDescent="0.15">
      <c r="B2" s="82" t="s">
        <v>227</v>
      </c>
    </row>
    <row r="3" spans="2:51" s="61" customFormat="1" ht="29" customHeight="1" x14ac:dyDescent="0.15">
      <c r="B3" s="395" t="s">
        <v>217</v>
      </c>
      <c r="C3" s="395" t="s">
        <v>42</v>
      </c>
      <c r="D3" s="399" t="s">
        <v>330</v>
      </c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  <c r="AN3" s="399"/>
      <c r="AO3" s="399"/>
      <c r="AP3" s="399"/>
      <c r="AQ3" s="399"/>
      <c r="AR3" s="399"/>
      <c r="AS3" s="399"/>
      <c r="AT3" s="399"/>
      <c r="AU3" s="399"/>
      <c r="AV3" s="399"/>
      <c r="AW3" s="399"/>
      <c r="AX3" s="399"/>
      <c r="AY3" s="399"/>
    </row>
    <row r="4" spans="2:51" s="61" customFormat="1" ht="29" customHeight="1" x14ac:dyDescent="0.15">
      <c r="B4" s="396"/>
      <c r="C4" s="396"/>
      <c r="D4" s="398" t="s">
        <v>314</v>
      </c>
      <c r="E4" s="398"/>
      <c r="F4" s="398"/>
      <c r="G4" s="398"/>
      <c r="H4" s="398" t="s">
        <v>315</v>
      </c>
      <c r="I4" s="398"/>
      <c r="J4" s="398"/>
      <c r="K4" s="398"/>
      <c r="L4" s="398" t="s">
        <v>316</v>
      </c>
      <c r="M4" s="398"/>
      <c r="N4" s="398"/>
      <c r="O4" s="398"/>
      <c r="P4" s="398" t="s">
        <v>317</v>
      </c>
      <c r="Q4" s="398"/>
      <c r="R4" s="398"/>
      <c r="S4" s="398"/>
      <c r="T4" s="398" t="s">
        <v>318</v>
      </c>
      <c r="U4" s="398"/>
      <c r="V4" s="398"/>
      <c r="W4" s="398"/>
      <c r="X4" s="398" t="s">
        <v>319</v>
      </c>
      <c r="Y4" s="398"/>
      <c r="Z4" s="398"/>
      <c r="AA4" s="398"/>
      <c r="AB4" s="398" t="s">
        <v>320</v>
      </c>
      <c r="AC4" s="398"/>
      <c r="AD4" s="398"/>
      <c r="AE4" s="398"/>
      <c r="AF4" s="398" t="s">
        <v>321</v>
      </c>
      <c r="AG4" s="398"/>
      <c r="AH4" s="398"/>
      <c r="AI4" s="398"/>
      <c r="AJ4" s="398" t="s">
        <v>322</v>
      </c>
      <c r="AK4" s="398"/>
      <c r="AL4" s="398"/>
      <c r="AM4" s="398"/>
      <c r="AN4" s="398" t="s">
        <v>323</v>
      </c>
      <c r="AO4" s="398"/>
      <c r="AP4" s="398"/>
      <c r="AQ4" s="398"/>
      <c r="AR4" s="398" t="s">
        <v>324</v>
      </c>
      <c r="AS4" s="398"/>
      <c r="AT4" s="398"/>
      <c r="AU4" s="398"/>
      <c r="AV4" s="398" t="s">
        <v>325</v>
      </c>
      <c r="AW4" s="398"/>
      <c r="AX4" s="398"/>
      <c r="AY4" s="398"/>
    </row>
    <row r="5" spans="2:51" s="61" customFormat="1" ht="39" customHeight="1" x14ac:dyDescent="0.15">
      <c r="B5" s="397"/>
      <c r="C5" s="397"/>
      <c r="D5" s="64" t="s">
        <v>326</v>
      </c>
      <c r="E5" s="64" t="s">
        <v>303</v>
      </c>
      <c r="F5" s="64" t="s">
        <v>327</v>
      </c>
      <c r="G5" s="64" t="s">
        <v>328</v>
      </c>
      <c r="H5" s="64" t="s">
        <v>326</v>
      </c>
      <c r="I5" s="64" t="s">
        <v>303</v>
      </c>
      <c r="J5" s="64" t="s">
        <v>327</v>
      </c>
      <c r="K5" s="64" t="s">
        <v>328</v>
      </c>
      <c r="L5" s="64" t="s">
        <v>326</v>
      </c>
      <c r="M5" s="64" t="s">
        <v>303</v>
      </c>
      <c r="N5" s="64" t="s">
        <v>327</v>
      </c>
      <c r="O5" s="64" t="s">
        <v>328</v>
      </c>
      <c r="P5" s="64" t="s">
        <v>326</v>
      </c>
      <c r="Q5" s="64" t="s">
        <v>303</v>
      </c>
      <c r="R5" s="64" t="s">
        <v>327</v>
      </c>
      <c r="S5" s="64" t="s">
        <v>328</v>
      </c>
      <c r="T5" s="64" t="s">
        <v>326</v>
      </c>
      <c r="U5" s="64" t="s">
        <v>303</v>
      </c>
      <c r="V5" s="64" t="s">
        <v>327</v>
      </c>
      <c r="W5" s="64" t="s">
        <v>328</v>
      </c>
      <c r="X5" s="64" t="s">
        <v>326</v>
      </c>
      <c r="Y5" s="64" t="s">
        <v>303</v>
      </c>
      <c r="Z5" s="64" t="s">
        <v>327</v>
      </c>
      <c r="AA5" s="64" t="s">
        <v>328</v>
      </c>
      <c r="AB5" s="64" t="s">
        <v>326</v>
      </c>
      <c r="AC5" s="64" t="s">
        <v>303</v>
      </c>
      <c r="AD5" s="64" t="s">
        <v>327</v>
      </c>
      <c r="AE5" s="64" t="s">
        <v>328</v>
      </c>
      <c r="AF5" s="64" t="s">
        <v>326</v>
      </c>
      <c r="AG5" s="64" t="s">
        <v>303</v>
      </c>
      <c r="AH5" s="64" t="s">
        <v>327</v>
      </c>
      <c r="AI5" s="64" t="s">
        <v>328</v>
      </c>
      <c r="AJ5" s="64" t="s">
        <v>326</v>
      </c>
      <c r="AK5" s="64" t="s">
        <v>303</v>
      </c>
      <c r="AL5" s="64" t="s">
        <v>327</v>
      </c>
      <c r="AM5" s="64" t="s">
        <v>328</v>
      </c>
      <c r="AN5" s="64" t="s">
        <v>326</v>
      </c>
      <c r="AO5" s="64" t="s">
        <v>303</v>
      </c>
      <c r="AP5" s="64" t="s">
        <v>327</v>
      </c>
      <c r="AQ5" s="64" t="s">
        <v>328</v>
      </c>
      <c r="AR5" s="64" t="s">
        <v>326</v>
      </c>
      <c r="AS5" s="64" t="s">
        <v>303</v>
      </c>
      <c r="AT5" s="64" t="s">
        <v>327</v>
      </c>
      <c r="AU5" s="64" t="s">
        <v>328</v>
      </c>
      <c r="AV5" s="64" t="s">
        <v>326</v>
      </c>
      <c r="AW5" s="64" t="s">
        <v>303</v>
      </c>
      <c r="AX5" s="64" t="s">
        <v>327</v>
      </c>
      <c r="AY5" s="64" t="s">
        <v>328</v>
      </c>
    </row>
    <row r="6" spans="2:51" ht="25" customHeight="1" x14ac:dyDescent="0.15">
      <c r="B6" s="64" t="s">
        <v>207</v>
      </c>
      <c r="C6" s="66"/>
      <c r="D6" s="208"/>
      <c r="E6" s="209"/>
      <c r="F6" s="209"/>
      <c r="G6" s="209"/>
      <c r="H6" s="208"/>
      <c r="I6" s="212"/>
      <c r="J6" s="211"/>
      <c r="K6" s="211"/>
      <c r="L6" s="208"/>
      <c r="M6" s="212"/>
      <c r="N6" s="212"/>
      <c r="O6" s="212"/>
      <c r="P6" s="208"/>
      <c r="Q6" s="212"/>
      <c r="R6" s="211"/>
      <c r="S6" s="211"/>
      <c r="T6" s="208"/>
      <c r="U6" s="212"/>
      <c r="V6" s="211"/>
      <c r="W6" s="211"/>
      <c r="X6" s="208"/>
      <c r="Y6" s="212"/>
      <c r="Z6" s="210"/>
      <c r="AA6" s="210"/>
      <c r="AB6" s="208"/>
      <c r="AC6" s="212"/>
      <c r="AD6" s="211"/>
      <c r="AE6" s="211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</row>
    <row r="7" spans="2:51" ht="25" customHeight="1" x14ac:dyDescent="0.15">
      <c r="B7" s="64" t="s">
        <v>250</v>
      </c>
      <c r="C7" s="66">
        <v>750000</v>
      </c>
      <c r="D7" s="208"/>
      <c r="E7" s="207"/>
      <c r="F7" s="207"/>
      <c r="G7" s="207"/>
      <c r="H7" s="208"/>
      <c r="I7" s="207"/>
      <c r="J7" s="207"/>
      <c r="K7" s="207"/>
      <c r="L7" s="208"/>
      <c r="M7" s="207"/>
      <c r="N7" s="207"/>
      <c r="O7" s="207"/>
      <c r="P7" s="208"/>
      <c r="Q7" s="207"/>
      <c r="R7" s="207"/>
      <c r="S7" s="207"/>
      <c r="T7" s="208"/>
      <c r="U7" s="207"/>
      <c r="V7" s="207"/>
      <c r="W7" s="207"/>
      <c r="X7" s="208"/>
      <c r="Y7" s="207"/>
      <c r="Z7" s="207"/>
      <c r="AA7" s="207"/>
      <c r="AB7" s="208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</row>
    <row r="8" spans="2:51" ht="25" customHeight="1" x14ac:dyDescent="0.15">
      <c r="B8" s="64" t="s">
        <v>232</v>
      </c>
      <c r="C8" s="69">
        <v>800000</v>
      </c>
      <c r="D8" s="208"/>
      <c r="E8" s="207"/>
      <c r="F8" s="207"/>
      <c r="G8" s="207"/>
      <c r="H8" s="208"/>
      <c r="I8" s="207"/>
      <c r="J8" s="207"/>
      <c r="K8" s="207"/>
      <c r="L8" s="208"/>
      <c r="M8" s="207"/>
      <c r="N8" s="207"/>
      <c r="O8" s="207"/>
      <c r="P8" s="208"/>
      <c r="Q8" s="207"/>
      <c r="R8" s="207"/>
      <c r="S8" s="207"/>
      <c r="T8" s="208"/>
      <c r="U8" s="207"/>
      <c r="V8" s="207"/>
      <c r="W8" s="207"/>
      <c r="X8" s="208"/>
      <c r="Y8" s="207"/>
      <c r="Z8" s="207"/>
      <c r="AA8" s="207"/>
      <c r="AB8" s="208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</row>
    <row r="9" spans="2:51" ht="25" customHeight="1" x14ac:dyDescent="0.15">
      <c r="B9" s="64" t="s">
        <v>231</v>
      </c>
      <c r="C9" s="69">
        <v>1000000</v>
      </c>
      <c r="D9" s="208"/>
      <c r="E9" s="207"/>
      <c r="F9" s="207"/>
      <c r="G9" s="207"/>
      <c r="H9" s="208"/>
      <c r="I9" s="207"/>
      <c r="J9" s="207"/>
      <c r="K9" s="207"/>
      <c r="L9" s="208"/>
      <c r="M9" s="207"/>
      <c r="N9" s="207"/>
      <c r="O9" s="207"/>
      <c r="P9" s="208"/>
      <c r="Q9" s="207"/>
      <c r="R9" s="207"/>
      <c r="S9" s="207"/>
      <c r="T9" s="208"/>
      <c r="U9" s="207"/>
      <c r="V9" s="207"/>
      <c r="W9" s="207"/>
      <c r="X9" s="208"/>
      <c r="Y9" s="207"/>
      <c r="Z9" s="207"/>
      <c r="AA9" s="207"/>
      <c r="AB9" s="208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</row>
    <row r="10" spans="2:51" ht="25" customHeight="1" x14ac:dyDescent="0.15">
      <c r="B10" s="64" t="s">
        <v>218</v>
      </c>
      <c r="C10" s="71">
        <v>419</v>
      </c>
      <c r="D10" s="207"/>
      <c r="E10" s="212"/>
      <c r="F10" s="207"/>
      <c r="G10" s="207"/>
      <c r="H10" s="207"/>
      <c r="I10" s="207"/>
      <c r="J10" s="207"/>
      <c r="K10" s="207"/>
      <c r="L10" s="207"/>
      <c r="M10" s="213"/>
      <c r="N10" s="207"/>
      <c r="O10" s="207"/>
      <c r="P10" s="207"/>
      <c r="Q10" s="212"/>
      <c r="R10" s="212"/>
      <c r="S10" s="207"/>
      <c r="T10" s="207"/>
      <c r="U10" s="212"/>
      <c r="V10" s="207"/>
      <c r="W10" s="207"/>
      <c r="X10" s="207"/>
      <c r="Y10" s="212"/>
      <c r="Z10" s="207"/>
      <c r="AA10" s="207"/>
      <c r="AB10" s="207"/>
      <c r="AC10" s="212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7"/>
      <c r="AU10" s="207"/>
      <c r="AV10" s="207"/>
      <c r="AW10" s="207"/>
      <c r="AX10" s="207"/>
      <c r="AY10" s="207"/>
    </row>
    <row r="11" spans="2:51" ht="25" customHeight="1" x14ac:dyDescent="0.15">
      <c r="B11" s="64" t="s">
        <v>219</v>
      </c>
      <c r="C11" s="214" t="s">
        <v>329</v>
      </c>
      <c r="D11" s="209"/>
      <c r="E11" s="207"/>
      <c r="F11" s="207"/>
      <c r="G11" s="207"/>
      <c r="H11" s="208"/>
      <c r="I11" s="207"/>
      <c r="J11" s="207"/>
      <c r="K11" s="207"/>
      <c r="L11" s="207"/>
      <c r="M11" s="207"/>
      <c r="N11" s="207"/>
      <c r="O11" s="207"/>
      <c r="P11" s="208"/>
      <c r="Q11" s="207"/>
      <c r="R11" s="207"/>
      <c r="S11" s="207"/>
      <c r="T11" s="208"/>
      <c r="U11" s="207"/>
      <c r="V11" s="207"/>
      <c r="W11" s="207"/>
      <c r="X11" s="208"/>
      <c r="Y11" s="207"/>
      <c r="Z11" s="207"/>
      <c r="AA11" s="207"/>
      <c r="AB11" s="208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</row>
    <row r="12" spans="2:51" ht="25" customHeight="1" x14ac:dyDescent="0.15">
      <c r="B12" s="64" t="s">
        <v>70</v>
      </c>
      <c r="C12" s="75">
        <v>0.1</v>
      </c>
      <c r="D12" s="208"/>
      <c r="E12" s="212"/>
      <c r="F12" s="207"/>
      <c r="G12" s="207"/>
      <c r="H12" s="208"/>
      <c r="I12" s="212"/>
      <c r="J12" s="207"/>
      <c r="K12" s="207"/>
      <c r="L12" s="208"/>
      <c r="M12" s="212"/>
      <c r="N12" s="207"/>
      <c r="O12" s="207"/>
      <c r="P12" s="208"/>
      <c r="Q12" s="212"/>
      <c r="R12" s="212"/>
      <c r="S12" s="207"/>
      <c r="T12" s="208"/>
      <c r="U12" s="212"/>
      <c r="V12" s="207"/>
      <c r="W12" s="207"/>
      <c r="X12" s="208"/>
      <c r="Y12" s="212"/>
      <c r="Z12" s="207"/>
      <c r="AA12" s="207"/>
      <c r="AB12" s="208"/>
      <c r="AC12" s="212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7"/>
      <c r="AR12" s="207"/>
      <c r="AS12" s="207"/>
      <c r="AT12" s="207"/>
      <c r="AU12" s="207"/>
      <c r="AV12" s="207"/>
      <c r="AW12" s="207"/>
      <c r="AX12" s="207"/>
      <c r="AY12" s="207"/>
    </row>
    <row r="13" spans="2:51" ht="25" customHeight="1" x14ac:dyDescent="0.15">
      <c r="B13" s="64" t="s">
        <v>205</v>
      </c>
      <c r="C13" s="75">
        <v>0.1</v>
      </c>
      <c r="D13" s="208"/>
      <c r="E13" s="212"/>
      <c r="F13" s="207"/>
      <c r="G13" s="207"/>
      <c r="H13" s="208"/>
      <c r="I13" s="212"/>
      <c r="J13" s="207"/>
      <c r="K13" s="207"/>
      <c r="L13" s="208"/>
      <c r="M13" s="212"/>
      <c r="N13" s="207"/>
      <c r="O13" s="207"/>
      <c r="P13" s="208"/>
      <c r="Q13" s="212"/>
      <c r="R13" s="212"/>
      <c r="S13" s="207"/>
      <c r="T13" s="208"/>
      <c r="U13" s="212"/>
      <c r="V13" s="207"/>
      <c r="W13" s="207"/>
      <c r="X13" s="208"/>
      <c r="Y13" s="212"/>
      <c r="Z13" s="207"/>
      <c r="AA13" s="207"/>
      <c r="AB13" s="208"/>
      <c r="AC13" s="212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</row>
    <row r="14" spans="2:51" ht="25" customHeight="1" x14ac:dyDescent="0.15">
      <c r="B14" s="64" t="s">
        <v>229</v>
      </c>
      <c r="C14" s="77">
        <v>0</v>
      </c>
      <c r="D14" s="211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</row>
    <row r="15" spans="2:51" ht="25" customHeight="1" x14ac:dyDescent="0.15">
      <c r="B15" s="64" t="s">
        <v>220</v>
      </c>
      <c r="C15" s="75">
        <v>0.35</v>
      </c>
      <c r="D15" s="212"/>
      <c r="E15" s="207"/>
      <c r="F15" s="207"/>
      <c r="G15" s="207"/>
      <c r="H15" s="212"/>
      <c r="I15" s="207"/>
      <c r="J15" s="207"/>
      <c r="K15" s="207"/>
      <c r="L15" s="212"/>
      <c r="M15" s="207"/>
      <c r="N15" s="207"/>
      <c r="O15" s="207"/>
      <c r="P15" s="212"/>
      <c r="Q15" s="207"/>
      <c r="R15" s="207"/>
      <c r="S15" s="207"/>
      <c r="T15" s="212"/>
      <c r="U15" s="207"/>
      <c r="V15" s="207"/>
      <c r="W15" s="207"/>
      <c r="X15" s="212"/>
      <c r="Y15" s="207"/>
      <c r="Z15" s="207"/>
      <c r="AA15" s="207"/>
      <c r="AB15" s="212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</row>
    <row r="16" spans="2:51" ht="25" customHeight="1" x14ac:dyDescent="0.15">
      <c r="B16" s="64" t="s">
        <v>221</v>
      </c>
      <c r="C16" s="75">
        <v>0.75</v>
      </c>
      <c r="D16" s="212"/>
      <c r="E16" s="207"/>
      <c r="F16" s="207"/>
      <c r="G16" s="207"/>
      <c r="H16" s="212"/>
      <c r="I16" s="207"/>
      <c r="J16" s="207"/>
      <c r="K16" s="207"/>
      <c r="L16" s="212"/>
      <c r="M16" s="207"/>
      <c r="N16" s="207"/>
      <c r="O16" s="207"/>
      <c r="P16" s="212"/>
      <c r="Q16" s="207"/>
      <c r="R16" s="207"/>
      <c r="S16" s="207"/>
      <c r="T16" s="212"/>
      <c r="U16" s="207"/>
      <c r="V16" s="207"/>
      <c r="W16" s="207"/>
      <c r="X16" s="212"/>
      <c r="Y16" s="207"/>
      <c r="Z16" s="207"/>
      <c r="AA16" s="207"/>
      <c r="AB16" s="212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</row>
    <row r="17" spans="2:51" ht="25" customHeight="1" x14ac:dyDescent="0.15">
      <c r="B17" s="64" t="s">
        <v>222</v>
      </c>
      <c r="C17" s="75">
        <v>0.95</v>
      </c>
      <c r="D17" s="212"/>
      <c r="E17" s="207"/>
      <c r="F17" s="207"/>
      <c r="G17" s="207"/>
      <c r="H17" s="212"/>
      <c r="I17" s="207"/>
      <c r="J17" s="207"/>
      <c r="K17" s="207"/>
      <c r="L17" s="212"/>
      <c r="M17" s="207"/>
      <c r="N17" s="207"/>
      <c r="O17" s="207"/>
      <c r="P17" s="212"/>
      <c r="Q17" s="207"/>
      <c r="R17" s="207"/>
      <c r="S17" s="207"/>
      <c r="T17" s="212"/>
      <c r="U17" s="207"/>
      <c r="V17" s="207"/>
      <c r="W17" s="207"/>
      <c r="X17" s="212"/>
      <c r="Y17" s="207"/>
      <c r="Z17" s="207"/>
      <c r="AA17" s="207"/>
      <c r="AB17" s="212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</row>
    <row r="18" spans="2:51" ht="25" customHeight="1" x14ac:dyDescent="0.15">
      <c r="B18" s="64" t="s">
        <v>260</v>
      </c>
      <c r="C18" s="75">
        <v>0.7</v>
      </c>
      <c r="D18" s="212"/>
      <c r="E18" s="207"/>
      <c r="F18" s="207"/>
      <c r="G18" s="207"/>
      <c r="H18" s="212"/>
      <c r="I18" s="207"/>
      <c r="J18" s="207"/>
      <c r="K18" s="207"/>
      <c r="L18" s="212"/>
      <c r="M18" s="207"/>
      <c r="N18" s="207"/>
      <c r="O18" s="207"/>
      <c r="P18" s="212"/>
      <c r="Q18" s="207"/>
      <c r="R18" s="207"/>
      <c r="S18" s="207"/>
      <c r="T18" s="212"/>
      <c r="U18" s="207"/>
      <c r="V18" s="207"/>
      <c r="W18" s="207"/>
      <c r="X18" s="212"/>
      <c r="Y18" s="207"/>
      <c r="Z18" s="207"/>
      <c r="AA18" s="207"/>
      <c r="AB18" s="212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</row>
    <row r="19" spans="2:51" ht="25" customHeight="1" x14ac:dyDescent="0.15">
      <c r="B19" s="64" t="s">
        <v>212</v>
      </c>
      <c r="C19" s="81"/>
      <c r="D19" s="207"/>
      <c r="E19" s="206"/>
      <c r="F19" s="207"/>
      <c r="G19" s="207"/>
      <c r="H19" s="207"/>
      <c r="I19" s="206"/>
      <c r="J19" s="207"/>
      <c r="K19" s="207"/>
      <c r="L19" s="207"/>
      <c r="M19" s="206"/>
      <c r="N19" s="207"/>
      <c r="O19" s="207"/>
      <c r="P19" s="207"/>
      <c r="Q19" s="206"/>
      <c r="R19" s="207"/>
      <c r="S19" s="207"/>
      <c r="T19" s="207"/>
      <c r="U19" s="206"/>
      <c r="V19" s="207"/>
      <c r="W19" s="207"/>
      <c r="X19" s="207"/>
      <c r="Y19" s="206"/>
      <c r="Z19" s="207"/>
      <c r="AA19" s="207"/>
      <c r="AB19" s="207"/>
      <c r="AC19" s="206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</row>
  </sheetData>
  <mergeCells count="15">
    <mergeCell ref="B3:B5"/>
    <mergeCell ref="C3:C5"/>
    <mergeCell ref="L4:O4"/>
    <mergeCell ref="D3:AY3"/>
    <mergeCell ref="D4:G4"/>
    <mergeCell ref="AV4:AY4"/>
    <mergeCell ref="AR4:AU4"/>
    <mergeCell ref="AN4:AQ4"/>
    <mergeCell ref="AJ4:AM4"/>
    <mergeCell ref="H4:K4"/>
    <mergeCell ref="AF4:AI4"/>
    <mergeCell ref="AB4:AE4"/>
    <mergeCell ref="X4:AA4"/>
    <mergeCell ref="T4:W4"/>
    <mergeCell ref="P4:S4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36B3-4BA6-4041-A528-DA4253A6AC0F}">
  <sheetPr codeName="Sheet6">
    <tabColor theme="4" tint="-0.249977111117893"/>
  </sheetPr>
  <dimension ref="B1:N19"/>
  <sheetViews>
    <sheetView zoomScale="88" zoomScaleNormal="88" workbookViewId="0">
      <selection activeCell="P10" sqref="P10"/>
    </sheetView>
  </sheetViews>
  <sheetFormatPr baseColWidth="10" defaultRowHeight="24" x14ac:dyDescent="0.15"/>
  <cols>
    <col min="1" max="1" width="7.85546875" style="63" customWidth="1"/>
    <col min="2" max="2" width="19.140625" style="61" customWidth="1"/>
    <col min="3" max="3" width="14.28515625" style="63" customWidth="1"/>
    <col min="4" max="5" width="14" style="63" customWidth="1"/>
    <col min="6" max="6" width="13.85546875" style="63" customWidth="1"/>
    <col min="7" max="7" width="15" style="63" customWidth="1"/>
    <col min="8" max="11" width="8.28515625" style="63" customWidth="1"/>
    <col min="12" max="16384" width="10.7109375" style="63"/>
  </cols>
  <sheetData>
    <row r="1" spans="2:14" ht="14" customHeight="1" x14ac:dyDescent="0.15"/>
    <row r="2" spans="2:14" ht="33" customHeight="1" x14ac:dyDescent="0.15">
      <c r="B2" s="82" t="s">
        <v>227</v>
      </c>
    </row>
    <row r="3" spans="2:14" s="61" customFormat="1" ht="29" customHeight="1" x14ac:dyDescent="0.15">
      <c r="B3" s="395" t="s">
        <v>217</v>
      </c>
      <c r="C3" s="395" t="s">
        <v>42</v>
      </c>
      <c r="D3" s="418" t="str">
        <f>Report!E1</f>
        <v>01-28 FEB 2026</v>
      </c>
      <c r="E3" s="419"/>
      <c r="F3" s="395" t="s">
        <v>223</v>
      </c>
      <c r="G3" s="420" t="s">
        <v>249</v>
      </c>
      <c r="H3" s="412" t="s">
        <v>248</v>
      </c>
      <c r="I3" s="413"/>
      <c r="J3" s="412" t="s">
        <v>247</v>
      </c>
      <c r="K3" s="413"/>
      <c r="N3" s="428"/>
    </row>
    <row r="4" spans="2:14" s="61" customFormat="1" ht="39" customHeight="1" x14ac:dyDescent="0.15">
      <c r="B4" s="397"/>
      <c r="C4" s="397"/>
      <c r="D4" s="64" t="s">
        <v>280</v>
      </c>
      <c r="E4" s="65" t="s">
        <v>281</v>
      </c>
      <c r="F4" s="397"/>
      <c r="G4" s="421"/>
      <c r="H4" s="414"/>
      <c r="I4" s="415"/>
      <c r="J4" s="414"/>
      <c r="K4" s="415"/>
      <c r="N4" s="428"/>
    </row>
    <row r="5" spans="2:14" ht="25" customHeight="1" x14ac:dyDescent="0.15">
      <c r="B5" s="64" t="s">
        <v>207</v>
      </c>
      <c r="C5" s="66">
        <f>Report!C21</f>
        <v>14900000</v>
      </c>
      <c r="D5" s="66">
        <f>Report!E21</f>
        <v>15084109.249999998</v>
      </c>
      <c r="E5" s="66">
        <f>Report!F21</f>
        <v>14097298.364485983</v>
      </c>
      <c r="F5" s="67">
        <f>E5/C5</f>
        <v>0.9461274070124821</v>
      </c>
      <c r="G5" s="227">
        <f>Report!AD21</f>
        <v>0.66875024770677816</v>
      </c>
      <c r="H5" s="429">
        <f>Report!AI21</f>
        <v>-4.3029498351308988E-2</v>
      </c>
      <c r="I5" s="430"/>
      <c r="J5" s="431">
        <f>Report!AP21</f>
        <v>0.10990775006337934</v>
      </c>
      <c r="K5" s="432"/>
    </row>
    <row r="6" spans="2:14" ht="25" customHeight="1" x14ac:dyDescent="0.15">
      <c r="B6" s="64" t="s">
        <v>311</v>
      </c>
      <c r="C6" s="66">
        <f>C5</f>
        <v>14900000</v>
      </c>
      <c r="D6" s="66">
        <f>Report!AW21</f>
        <v>13618715.633928573</v>
      </c>
      <c r="E6" s="66">
        <f>Report!AW20</f>
        <v>12727771.620493993</v>
      </c>
      <c r="F6" s="67">
        <f>Report!AX20</f>
        <v>1.0141650693620712</v>
      </c>
      <c r="G6" s="250">
        <f>Report!AD20</f>
        <v>0.26563623671823955</v>
      </c>
      <c r="H6" s="435">
        <f>Report!AI20</f>
        <v>-4.9025037197144468E-2</v>
      </c>
      <c r="I6" s="436"/>
      <c r="J6" s="433">
        <f>Report!AP20</f>
        <v>9.6931463219682337E-2</v>
      </c>
      <c r="K6" s="434"/>
    </row>
    <row r="7" spans="2:14" ht="25" customHeight="1" x14ac:dyDescent="0.15">
      <c r="B7" s="64" t="s">
        <v>250</v>
      </c>
      <c r="C7" s="66">
        <f>C5/22</f>
        <v>677272.72727272729</v>
      </c>
      <c r="D7" s="410">
        <f>E5/22</f>
        <v>640786.28929481737</v>
      </c>
      <c r="E7" s="411"/>
      <c r="F7" s="67">
        <f>D7/C7</f>
        <v>0.94612740701248199</v>
      </c>
      <c r="G7" s="250"/>
      <c r="H7" s="433"/>
      <c r="I7" s="434"/>
      <c r="J7" s="433"/>
      <c r="K7" s="434"/>
    </row>
    <row r="8" spans="2:14" ht="25" customHeight="1" x14ac:dyDescent="0.15">
      <c r="B8" s="64" t="s">
        <v>232</v>
      </c>
      <c r="C8" s="69">
        <v>600000</v>
      </c>
      <c r="D8" s="416">
        <f>'Week day&amp;Week end'!AD21</f>
        <v>436239.43550000002</v>
      </c>
      <c r="E8" s="417"/>
      <c r="F8" s="70">
        <f>D8/C8</f>
        <v>0.7270657258333334</v>
      </c>
      <c r="G8" s="68"/>
      <c r="H8" s="426"/>
      <c r="I8" s="427"/>
      <c r="J8" s="426"/>
      <c r="K8" s="427"/>
    </row>
    <row r="9" spans="2:14" ht="25" customHeight="1" x14ac:dyDescent="0.15">
      <c r="B9" s="64" t="s">
        <v>231</v>
      </c>
      <c r="C9" s="69">
        <v>1000000</v>
      </c>
      <c r="D9" s="416">
        <f>'Week day&amp;Week end'!AB21</f>
        <v>794895.0675</v>
      </c>
      <c r="E9" s="417"/>
      <c r="F9" s="70">
        <f>D9/C9</f>
        <v>0.79489506750000005</v>
      </c>
      <c r="G9" s="68"/>
      <c r="H9" s="426"/>
      <c r="I9" s="427"/>
      <c r="J9" s="426"/>
      <c r="K9" s="427"/>
    </row>
    <row r="10" spans="2:14" ht="25" customHeight="1" x14ac:dyDescent="0.15">
      <c r="B10" s="64" t="s">
        <v>218</v>
      </c>
      <c r="C10" s="71">
        <v>423</v>
      </c>
      <c r="D10" s="400">
        <f>Report!H21</f>
        <v>491.79578544790127</v>
      </c>
      <c r="E10" s="401"/>
      <c r="F10" s="70">
        <f>Report!J21</f>
        <v>0.13988689509660143</v>
      </c>
      <c r="G10" s="72"/>
      <c r="H10" s="424"/>
      <c r="I10" s="425"/>
      <c r="J10" s="424"/>
      <c r="K10" s="425"/>
    </row>
    <row r="11" spans="2:14" ht="25" customHeight="1" x14ac:dyDescent="0.15">
      <c r="B11" s="64" t="s">
        <v>219</v>
      </c>
      <c r="C11" s="66">
        <f>'STK-เดือน.'!D20</f>
        <v>16295000</v>
      </c>
      <c r="D11" s="404">
        <f>'STK-เดือน.'!F20</f>
        <v>23804152</v>
      </c>
      <c r="E11" s="405"/>
      <c r="F11" s="73">
        <f>'STK-เดือน.'!H20</f>
        <v>1.4608255293034673</v>
      </c>
      <c r="G11" s="74"/>
      <c r="H11" s="426"/>
      <c r="I11" s="427"/>
      <c r="J11" s="426"/>
      <c r="K11" s="427"/>
    </row>
    <row r="12" spans="2:14" ht="25" customHeight="1" x14ac:dyDescent="0.15">
      <c r="B12" s="64" t="s">
        <v>70</v>
      </c>
      <c r="C12" s="75">
        <v>0.1</v>
      </c>
      <c r="D12" s="402">
        <f>'Survay Member '!E21</f>
        <v>2956</v>
      </c>
      <c r="E12" s="403"/>
      <c r="F12" s="67">
        <f>'Survay Member '!G21</f>
        <v>0.10558651235890841</v>
      </c>
      <c r="G12" s="76"/>
      <c r="H12" s="424"/>
      <c r="I12" s="425"/>
      <c r="J12" s="424"/>
      <c r="K12" s="425"/>
    </row>
    <row r="13" spans="2:14" ht="25" hidden="1" customHeight="1" x14ac:dyDescent="0.15">
      <c r="B13" s="64" t="s">
        <v>205</v>
      </c>
      <c r="C13" s="75">
        <v>0.1</v>
      </c>
      <c r="D13" s="402">
        <f>'Survay Member '!I21</f>
        <v>0</v>
      </c>
      <c r="E13" s="403"/>
      <c r="F13" s="67">
        <f>'Survay Member '!K21</f>
        <v>0</v>
      </c>
      <c r="G13" s="76"/>
      <c r="H13" s="426"/>
      <c r="I13" s="427"/>
      <c r="J13" s="426"/>
      <c r="K13" s="427"/>
    </row>
    <row r="14" spans="2:14" ht="25" customHeight="1" x14ac:dyDescent="0.15">
      <c r="B14" s="64" t="s">
        <v>229</v>
      </c>
      <c r="C14" s="77"/>
      <c r="D14" s="408" t="s">
        <v>373</v>
      </c>
      <c r="E14" s="409"/>
      <c r="F14" s="262"/>
      <c r="G14" s="78"/>
      <c r="H14" s="422" t="s">
        <v>279</v>
      </c>
      <c r="I14" s="423"/>
      <c r="J14" s="422" t="s">
        <v>278</v>
      </c>
      <c r="K14" s="423"/>
    </row>
    <row r="15" spans="2:14" ht="25" customHeight="1" x14ac:dyDescent="0.15">
      <c r="B15" s="64" t="s">
        <v>220</v>
      </c>
      <c r="C15" s="75">
        <v>0.35</v>
      </c>
      <c r="D15" s="406">
        <v>0.31159999999999999</v>
      </c>
      <c r="E15" s="407"/>
      <c r="F15" s="347">
        <f>D15-C15</f>
        <v>-3.839999999999999E-2</v>
      </c>
      <c r="G15" s="79"/>
      <c r="H15" s="76">
        <v>0.32519999999999999</v>
      </c>
      <c r="I15" s="227" t="s">
        <v>579</v>
      </c>
      <c r="J15" s="80">
        <v>0.29170000000000001</v>
      </c>
      <c r="K15" s="368">
        <f>D15-J15</f>
        <v>1.9899999999999973E-2</v>
      </c>
    </row>
    <row r="16" spans="2:14" ht="25" customHeight="1" x14ac:dyDescent="0.15">
      <c r="B16" s="64" t="s">
        <v>221</v>
      </c>
      <c r="C16" s="75">
        <v>0.75</v>
      </c>
      <c r="D16" s="406">
        <v>0.7823</v>
      </c>
      <c r="E16" s="407"/>
      <c r="F16" s="251">
        <f>D16-C16</f>
        <v>3.2299999999999995E-2</v>
      </c>
      <c r="G16" s="78"/>
      <c r="H16" s="76">
        <v>0.81859999999999999</v>
      </c>
      <c r="I16" s="227" t="s">
        <v>580</v>
      </c>
      <c r="J16" s="80">
        <v>0.79410000000000003</v>
      </c>
      <c r="K16" s="361">
        <f>D16-J16</f>
        <v>-1.1800000000000033E-2</v>
      </c>
    </row>
    <row r="17" spans="2:11" ht="25" customHeight="1" x14ac:dyDescent="0.15">
      <c r="B17" s="64" t="s">
        <v>222</v>
      </c>
      <c r="C17" s="75">
        <v>0.95</v>
      </c>
      <c r="D17" s="406">
        <v>0.91990000000000005</v>
      </c>
      <c r="E17" s="407"/>
      <c r="F17" s="347">
        <f>D17-C17</f>
        <v>-3.0099999999999905E-2</v>
      </c>
      <c r="G17" s="78"/>
      <c r="H17" s="76">
        <v>0.93840000000000001</v>
      </c>
      <c r="I17" s="227" t="s">
        <v>581</v>
      </c>
      <c r="J17" s="80">
        <v>0.93359999999999999</v>
      </c>
      <c r="K17" s="361">
        <f>D17-J17</f>
        <v>-1.3699999999999934E-2</v>
      </c>
    </row>
    <row r="18" spans="2:11" ht="25" customHeight="1" x14ac:dyDescent="0.15">
      <c r="B18" s="64" t="s">
        <v>260</v>
      </c>
      <c r="C18" s="75">
        <v>0.7</v>
      </c>
      <c r="D18" s="406">
        <v>0.65990000000000004</v>
      </c>
      <c r="E18" s="407"/>
      <c r="F18" s="347">
        <f>D18-C18</f>
        <v>-4.0099999999999913E-2</v>
      </c>
      <c r="G18" s="78"/>
      <c r="H18" s="76">
        <v>0.69579999999999997</v>
      </c>
      <c r="I18" s="227" t="s">
        <v>582</v>
      </c>
      <c r="J18" s="80">
        <v>0.69479999999999997</v>
      </c>
      <c r="K18" s="361">
        <f>D18-J18</f>
        <v>-3.4899999999999931E-2</v>
      </c>
    </row>
    <row r="19" spans="2:11" ht="25" customHeight="1" x14ac:dyDescent="0.15">
      <c r="B19" s="64" t="s">
        <v>212</v>
      </c>
      <c r="C19" s="81" t="s">
        <v>578</v>
      </c>
      <c r="D19" s="400">
        <f>MANPOWER!G20</f>
        <v>42</v>
      </c>
      <c r="E19" s="401"/>
      <c r="F19" s="70">
        <f>D19/47</f>
        <v>0.8936170212765957</v>
      </c>
      <c r="G19" s="68"/>
      <c r="H19" s="424"/>
      <c r="I19" s="425"/>
      <c r="J19" s="424"/>
      <c r="K19" s="425"/>
    </row>
  </sheetData>
  <mergeCells count="43">
    <mergeCell ref="N3:N4"/>
    <mergeCell ref="H10:I10"/>
    <mergeCell ref="J10:K10"/>
    <mergeCell ref="H12:I12"/>
    <mergeCell ref="J12:K12"/>
    <mergeCell ref="H5:I5"/>
    <mergeCell ref="J5:K5"/>
    <mergeCell ref="H7:I7"/>
    <mergeCell ref="J7:K7"/>
    <mergeCell ref="H8:I8"/>
    <mergeCell ref="J8:K8"/>
    <mergeCell ref="H9:I9"/>
    <mergeCell ref="J9:K9"/>
    <mergeCell ref="H6:I6"/>
    <mergeCell ref="J6:K6"/>
    <mergeCell ref="H14:I14"/>
    <mergeCell ref="J14:K14"/>
    <mergeCell ref="H19:I19"/>
    <mergeCell ref="J19:K19"/>
    <mergeCell ref="H11:I11"/>
    <mergeCell ref="J11:K11"/>
    <mergeCell ref="H13:I13"/>
    <mergeCell ref="J13:K13"/>
    <mergeCell ref="B3:B4"/>
    <mergeCell ref="C3:C4"/>
    <mergeCell ref="D3:E3"/>
    <mergeCell ref="F3:F4"/>
    <mergeCell ref="G3:G4"/>
    <mergeCell ref="D7:E7"/>
    <mergeCell ref="H3:I4"/>
    <mergeCell ref="J3:K4"/>
    <mergeCell ref="D9:E9"/>
    <mergeCell ref="D8:E8"/>
    <mergeCell ref="D10:E10"/>
    <mergeCell ref="D12:E12"/>
    <mergeCell ref="D11:E11"/>
    <mergeCell ref="D19:E19"/>
    <mergeCell ref="D18:E18"/>
    <mergeCell ref="D13:E13"/>
    <mergeCell ref="D14:E14"/>
    <mergeCell ref="D15:E15"/>
    <mergeCell ref="D16:E16"/>
    <mergeCell ref="D17:E17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2038-B555-7F4C-A170-734FE1AFA547}">
  <sheetPr codeName="Sheet7">
    <tabColor rgb="FF00A400"/>
  </sheetPr>
  <dimension ref="A1:BU75"/>
  <sheetViews>
    <sheetView zoomScale="37" zoomScaleNormal="37" workbookViewId="0">
      <pane ySplit="2" topLeftCell="A3" activePane="bottomLeft" state="frozen"/>
      <selection pane="bottomLeft" activeCell="C11" sqref="C11:C19"/>
    </sheetView>
  </sheetViews>
  <sheetFormatPr baseColWidth="10" defaultRowHeight="18" x14ac:dyDescent="0.2"/>
  <cols>
    <col min="1" max="1" width="44.85546875" style="172" customWidth="1"/>
    <col min="2" max="2" width="17.140625" style="172" hidden="1" customWidth="1"/>
    <col min="3" max="3" width="16.7109375" style="172" customWidth="1"/>
    <col min="4" max="4" width="13.85546875" style="172" customWidth="1"/>
    <col min="5" max="5" width="17.28515625" style="172" customWidth="1"/>
    <col min="6" max="6" width="16" style="172" customWidth="1"/>
    <col min="7" max="7" width="11.42578125" style="172" customWidth="1"/>
    <col min="8" max="9" width="8.140625" style="172" customWidth="1"/>
    <col min="10" max="10" width="11.5703125" style="172" customWidth="1"/>
    <col min="11" max="11" width="18.28515625" style="172" hidden="1" customWidth="1"/>
    <col min="12" max="12" width="12.42578125" style="172" customWidth="1"/>
    <col min="13" max="13" width="12.42578125" style="172" hidden="1" customWidth="1"/>
    <col min="14" max="14" width="13.5703125" style="172" customWidth="1"/>
    <col min="15" max="19" width="15.28515625" style="172" hidden="1" customWidth="1"/>
    <col min="20" max="20" width="14.140625" style="172" hidden="1" customWidth="1"/>
    <col min="21" max="21" width="12.42578125" style="172" hidden="1" customWidth="1"/>
    <col min="22" max="22" width="16.28515625" style="172" hidden="1" customWidth="1"/>
    <col min="23" max="23" width="18.5703125" style="172" hidden="1" customWidth="1"/>
    <col min="24" max="24" width="10.42578125" style="172" customWidth="1"/>
    <col min="25" max="25" width="10.140625" style="172" hidden="1" customWidth="1"/>
    <col min="26" max="26" width="14.85546875" style="172" hidden="1" customWidth="1"/>
    <col min="27" max="28" width="16" style="172" customWidth="1"/>
    <col min="29" max="29" width="13.85546875" style="172" customWidth="1"/>
    <col min="30" max="30" width="12.7109375" style="172" customWidth="1"/>
    <col min="31" max="31" width="14.85546875" style="172" hidden="1" customWidth="1"/>
    <col min="32" max="33" width="16" style="172" customWidth="1"/>
    <col min="34" max="34" width="13.85546875" style="172" customWidth="1"/>
    <col min="35" max="35" width="13.140625" style="172" customWidth="1"/>
    <col min="36" max="37" width="16" style="172" customWidth="1"/>
    <col min="38" max="40" width="15.140625" style="172" customWidth="1"/>
    <col min="41" max="41" width="13.85546875" style="172" customWidth="1"/>
    <col min="42" max="42" width="12.28515625" style="172" customWidth="1"/>
    <col min="43" max="43" width="64.7109375" style="175" customWidth="1"/>
    <col min="44" max="44" width="23" style="172" customWidth="1"/>
    <col min="45" max="45" width="64.85546875" style="172" customWidth="1"/>
    <col min="46" max="47" width="25.7109375" style="172" customWidth="1"/>
    <col min="48" max="48" width="20" style="172" customWidth="1"/>
    <col min="49" max="49" width="25.7109375" style="172" customWidth="1"/>
    <col min="50" max="50" width="20.28515625" style="172" customWidth="1"/>
    <col min="51" max="51" width="21" style="172" customWidth="1"/>
    <col min="52" max="52" width="25.28515625" style="172" customWidth="1"/>
    <col min="53" max="53" width="18.140625" style="172" customWidth="1"/>
    <col min="54" max="16384" width="10.7109375" style="172"/>
  </cols>
  <sheetData>
    <row r="1" spans="1:73" s="136" customFormat="1" ht="59" customHeight="1" x14ac:dyDescent="0.15">
      <c r="A1" s="296"/>
      <c r="B1" s="297" t="s">
        <v>201</v>
      </c>
      <c r="C1" s="298" t="s">
        <v>8</v>
      </c>
      <c r="D1" s="298" t="s">
        <v>8</v>
      </c>
      <c r="E1" s="389" t="s">
        <v>577</v>
      </c>
      <c r="F1" s="389"/>
      <c r="G1" s="389"/>
      <c r="H1" s="388" t="s">
        <v>10</v>
      </c>
      <c r="I1" s="388" t="s">
        <v>11</v>
      </c>
      <c r="J1" s="388" t="s">
        <v>12</v>
      </c>
      <c r="K1" s="388" t="s">
        <v>13</v>
      </c>
      <c r="L1" s="388" t="s">
        <v>14</v>
      </c>
      <c r="M1" s="393" t="s">
        <v>310</v>
      </c>
      <c r="N1" s="390" t="s">
        <v>26</v>
      </c>
      <c r="O1" s="391"/>
      <c r="P1" s="391"/>
      <c r="Q1" s="391"/>
      <c r="R1" s="391"/>
      <c r="S1" s="391"/>
      <c r="T1" s="391"/>
      <c r="U1" s="391"/>
      <c r="V1" s="391"/>
      <c r="W1" s="392"/>
      <c r="X1" s="388" t="s">
        <v>37</v>
      </c>
      <c r="Y1" s="388" t="s">
        <v>36</v>
      </c>
      <c r="Z1" s="388" t="s">
        <v>15</v>
      </c>
      <c r="AA1" s="388"/>
      <c r="AB1" s="388"/>
      <c r="AC1" s="388"/>
      <c r="AD1" s="388"/>
      <c r="AE1" s="388" t="s">
        <v>16</v>
      </c>
      <c r="AF1" s="388"/>
      <c r="AG1" s="388"/>
      <c r="AH1" s="388"/>
      <c r="AI1" s="388"/>
      <c r="AJ1" s="388" t="s">
        <v>30</v>
      </c>
      <c r="AK1" s="388"/>
      <c r="AL1" s="388"/>
      <c r="AM1" s="388"/>
      <c r="AN1" s="388"/>
      <c r="AO1" s="388"/>
      <c r="AP1" s="388"/>
      <c r="AQ1" s="389" t="s">
        <v>17</v>
      </c>
      <c r="AS1" s="384" t="s">
        <v>214</v>
      </c>
      <c r="AT1" s="384" t="s">
        <v>311</v>
      </c>
      <c r="AU1" s="384"/>
      <c r="AV1" s="384"/>
      <c r="AW1" s="384"/>
      <c r="AX1" s="384"/>
      <c r="AY1" s="384" t="s">
        <v>337</v>
      </c>
      <c r="AZ1" s="384"/>
      <c r="BA1" s="384"/>
    </row>
    <row r="2" spans="1:73" s="136" customFormat="1" ht="59" customHeight="1" x14ac:dyDescent="0.15">
      <c r="A2" s="301" t="s">
        <v>214</v>
      </c>
      <c r="B2" s="302">
        <v>1</v>
      </c>
      <c r="C2" s="303">
        <v>1</v>
      </c>
      <c r="D2" s="298" t="s">
        <v>9</v>
      </c>
      <c r="E2" s="299" t="s">
        <v>18</v>
      </c>
      <c r="F2" s="299" t="s">
        <v>19</v>
      </c>
      <c r="G2" s="299" t="s">
        <v>20</v>
      </c>
      <c r="H2" s="388"/>
      <c r="I2" s="388"/>
      <c r="J2" s="388"/>
      <c r="K2" s="388"/>
      <c r="L2" s="388"/>
      <c r="M2" s="394"/>
      <c r="N2" s="300" t="s">
        <v>29</v>
      </c>
      <c r="O2" s="300" t="s">
        <v>49</v>
      </c>
      <c r="P2" s="304" t="s">
        <v>21</v>
      </c>
      <c r="Q2" s="304" t="s">
        <v>286</v>
      </c>
      <c r="R2" s="304" t="s">
        <v>287</v>
      </c>
      <c r="S2" s="304" t="s">
        <v>288</v>
      </c>
      <c r="T2" s="300" t="s">
        <v>224</v>
      </c>
      <c r="U2" s="304" t="s">
        <v>22</v>
      </c>
      <c r="V2" s="300" t="s">
        <v>225</v>
      </c>
      <c r="W2" s="304" t="s">
        <v>23</v>
      </c>
      <c r="X2" s="388"/>
      <c r="Y2" s="388"/>
      <c r="Z2" s="305">
        <v>2023</v>
      </c>
      <c r="AA2" s="305">
        <v>2024</v>
      </c>
      <c r="AB2" s="305">
        <v>2025</v>
      </c>
      <c r="AC2" s="388" t="s">
        <v>12</v>
      </c>
      <c r="AD2" s="388"/>
      <c r="AE2" s="306" t="s">
        <v>255</v>
      </c>
      <c r="AF2" s="306" t="s">
        <v>386</v>
      </c>
      <c r="AG2" s="306" t="s">
        <v>446</v>
      </c>
      <c r="AH2" s="388" t="s">
        <v>12</v>
      </c>
      <c r="AI2" s="388"/>
      <c r="AJ2" s="309" t="s">
        <v>380</v>
      </c>
      <c r="AK2" s="307" t="s">
        <v>454</v>
      </c>
      <c r="AL2" s="307" t="s">
        <v>455</v>
      </c>
      <c r="AM2" s="307" t="s">
        <v>456</v>
      </c>
      <c r="AN2" s="308" t="s">
        <v>457</v>
      </c>
      <c r="AO2" s="388" t="s">
        <v>12</v>
      </c>
      <c r="AP2" s="388"/>
      <c r="AQ2" s="389"/>
      <c r="AS2" s="384"/>
      <c r="AT2" s="127" t="s">
        <v>301</v>
      </c>
      <c r="AU2" s="127" t="s">
        <v>285</v>
      </c>
      <c r="AV2" s="128" t="s">
        <v>309</v>
      </c>
      <c r="AW2" s="127" t="s">
        <v>310</v>
      </c>
      <c r="AX2" s="127" t="s">
        <v>303</v>
      </c>
      <c r="AY2" s="128" t="s">
        <v>309</v>
      </c>
      <c r="AZ2" s="127" t="s">
        <v>310</v>
      </c>
      <c r="BA2" s="127" t="s">
        <v>303</v>
      </c>
    </row>
    <row r="3" spans="1:73" s="154" customFormat="1" ht="60" customHeight="1" x14ac:dyDescent="0.15">
      <c r="A3" s="137" t="s">
        <v>132</v>
      </c>
      <c r="B3" s="138">
        <f>(C3*7)/100+C3</f>
        <v>963000</v>
      </c>
      <c r="C3" s="139">
        <f>_xlfn.XLOOKUP(A3,'Target ปี 2026'!B:B,'Target ปี 2026'!C:C,0,0)</f>
        <v>900000</v>
      </c>
      <c r="D3" s="139">
        <f t="shared" ref="D3:D9" si="0">C3/30</f>
        <v>30000</v>
      </c>
      <c r="E3" s="202">
        <f>_xlfn.XLOOKUP(A3,ยอดขายปัจจุบัน!B:B,ยอดขายปัจจุบัน!D:D,0,0)</f>
        <v>982007.5</v>
      </c>
      <c r="F3" s="202">
        <f t="shared" ref="F3:F9" si="1">E3*100/107</f>
        <v>917764.01869158878</v>
      </c>
      <c r="G3" s="202">
        <f>_xlfn.XLOOKUP(A3,ยอดขายปัจจุบัน!B:B,ยอดขายปัจจุบัน!C:C,0,0)</f>
        <v>1843</v>
      </c>
      <c r="H3" s="203">
        <f t="shared" ref="H3:H9" si="2">E3/G3</f>
        <v>532.8309820944113</v>
      </c>
      <c r="I3" s="140">
        <v>450</v>
      </c>
      <c r="J3" s="141">
        <f t="shared" ref="J3:J9" si="3">(H3-I3)/H3</f>
        <v>0.15545451536775434</v>
      </c>
      <c r="K3" s="142">
        <f t="shared" ref="K3:K9" si="4">(E3-C3)/$E$36</f>
        <v>82007.5</v>
      </c>
      <c r="L3" s="369">
        <f t="shared" ref="L3:L19" si="5">F3/C3</f>
        <v>1.0197377985462097</v>
      </c>
      <c r="M3" s="215"/>
      <c r="N3" s="144">
        <f t="shared" ref="N3:N9" si="6">C3-F3</f>
        <v>-17764.018691588775</v>
      </c>
      <c r="O3" s="143">
        <f t="shared" ref="O3:O9" si="7">N3/$E$36</f>
        <v>-17764.018691588775</v>
      </c>
      <c r="P3" s="144">
        <f t="shared" ref="P3:P9" si="8">SUM(N3/$E$36)</f>
        <v>-17764.018691588775</v>
      </c>
      <c r="Q3" s="144">
        <f t="shared" ref="Q3:Q9" si="9">E3/$D$36</f>
        <v>35071.696428571428</v>
      </c>
      <c r="R3" s="144">
        <f>Q3*22</f>
        <v>771577.32142857136</v>
      </c>
      <c r="S3" s="145">
        <f>R3/C3</f>
        <v>0.85730813492063485</v>
      </c>
      <c r="T3" s="146">
        <f t="shared" ref="T3:T9" si="10">(C3-F3)*110%</f>
        <v>-19540.420560747654</v>
      </c>
      <c r="U3" s="147">
        <f t="shared" ref="U3:U9" si="11">T3/$E$36</f>
        <v>-19540.420560747654</v>
      </c>
      <c r="V3" s="147">
        <f t="shared" ref="V3:V9" si="12">(C3-F3)*120%</f>
        <v>-21316.82242990653</v>
      </c>
      <c r="W3" s="147">
        <f t="shared" ref="W3:W9" si="13">SUM(V3/$E$36)</f>
        <v>-21316.82242990653</v>
      </c>
      <c r="X3" s="148">
        <f t="shared" ref="X3:X9" si="14">E3/$E$21</f>
        <v>6.5102120630689556E-2</v>
      </c>
      <c r="Y3" s="148" t="e">
        <f t="shared" ref="Y3:Y9" si="15">E3/$H$36</f>
        <v>#DIV/0!</v>
      </c>
      <c r="Z3" s="149">
        <f>_xlfn.XLOOKUP(A3,ยอดขายปีที่แล้ว!B:B,ยอดขายปีที่แล้ว!D:D,0,0)</f>
        <v>881171</v>
      </c>
      <c r="AA3" s="150">
        <f t="shared" ref="AA3:AA9" si="16">Z3*100/107</f>
        <v>823524.29906542052</v>
      </c>
      <c r="AB3" s="202">
        <f t="shared" ref="AB3:AB9" si="17">F3</f>
        <v>917764.01869158878</v>
      </c>
      <c r="AC3" s="155">
        <f t="shared" ref="AC3:AC9" si="18">AB3-AA3</f>
        <v>94239.719626168255</v>
      </c>
      <c r="AD3" s="263">
        <f t="shared" ref="AD3:AD9" si="19">(AB3-AA3)/AA3</f>
        <v>0.11443465570246869</v>
      </c>
      <c r="AE3" s="149">
        <f>_xlfn.XLOOKUP(A3,ยอดขายเดือนที่เแล้ว!B:B,ยอดขายเดือนที่เแล้ว!D:D,0,0)</f>
        <v>1027144</v>
      </c>
      <c r="AF3" s="146">
        <f t="shared" ref="AF3:AF9" si="20">AE3*100/107</f>
        <v>959947.66355140181</v>
      </c>
      <c r="AG3" s="205">
        <f t="shared" ref="AG3:AG9" si="21">F3</f>
        <v>917764.01869158878</v>
      </c>
      <c r="AH3" s="374">
        <f>AG3-AF3</f>
        <v>-42183.644859813037</v>
      </c>
      <c r="AI3" s="375">
        <f>(AG3-AF3)/AF3</f>
        <v>-4.3943692413137739E-2</v>
      </c>
      <c r="AJ3" s="151">
        <v>202720</v>
      </c>
      <c r="AK3" s="150">
        <v>221497</v>
      </c>
      <c r="AL3" s="150">
        <v>252707.5</v>
      </c>
      <c r="AM3" s="372">
        <v>269601</v>
      </c>
      <c r="AN3" s="371">
        <v>262322</v>
      </c>
      <c r="AO3" s="358">
        <f>AN3-AM3</f>
        <v>-7279</v>
      </c>
      <c r="AP3" s="333">
        <f>(AN3-AM3)/AM3</f>
        <v>-2.6999158014992527E-2</v>
      </c>
      <c r="AQ3" s="152"/>
      <c r="AR3" s="153"/>
      <c r="AS3" s="129" t="str">
        <f>A3</f>
        <v>Yuedpao สาขา Mega บางนา</v>
      </c>
      <c r="AT3" s="130">
        <f>C3</f>
        <v>900000</v>
      </c>
      <c r="AU3" s="130">
        <f>F3</f>
        <v>917764.01869158878</v>
      </c>
      <c r="AV3" s="131">
        <f t="shared" ref="AV3:AV9" si="22">AU3/$D$36</f>
        <v>32777.286381842459</v>
      </c>
      <c r="AW3" s="132">
        <f t="shared" ref="AW3:AW9" si="23">(AV3*$E$36)+AU3</f>
        <v>950541.30507343123</v>
      </c>
      <c r="AX3" s="367">
        <f t="shared" ref="AX3:AX9" si="24">AW3/AT3</f>
        <v>1.0561570056371459</v>
      </c>
      <c r="AY3" s="317">
        <f t="shared" ref="AY3:AY19" si="25">(AV3*50%)+AV3</f>
        <v>49165.929572763693</v>
      </c>
      <c r="AZ3" s="318">
        <f t="shared" ref="AZ3:AZ9" si="26">(AY3*$E$36)+AU3</f>
        <v>966929.94826435251</v>
      </c>
      <c r="BA3" s="228">
        <f t="shared" ref="BA3:BA20" si="27">AZ3/AT3</f>
        <v>1.0743666091826138</v>
      </c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</row>
    <row r="4" spans="1:73" s="154" customFormat="1" ht="60" customHeight="1" x14ac:dyDescent="0.15">
      <c r="A4" s="137" t="s">
        <v>138</v>
      </c>
      <c r="B4" s="138">
        <f>(C4*7)/100+C4</f>
        <v>802500</v>
      </c>
      <c r="C4" s="139">
        <f>_xlfn.XLOOKUP(A4,'Target ปี 2026'!B:B,'Target ปี 2026'!C:C,0,0)</f>
        <v>750000</v>
      </c>
      <c r="D4" s="139">
        <f t="shared" si="0"/>
        <v>25000</v>
      </c>
      <c r="E4" s="202">
        <f>_xlfn.XLOOKUP(A4,ยอดขายปัจจุบัน!B:B,ยอดขายปัจจุบัน!D:D,0,0)</f>
        <v>784810.5</v>
      </c>
      <c r="F4" s="202">
        <f t="shared" si="1"/>
        <v>733467.75700934581</v>
      </c>
      <c r="G4" s="202">
        <f>_xlfn.XLOOKUP(A4,ยอดขายปัจจุบัน!B:B,ยอดขายปัจจุบัน!C:C,0,0)</f>
        <v>1662</v>
      </c>
      <c r="H4" s="203">
        <f t="shared" si="2"/>
        <v>472.20848375451266</v>
      </c>
      <c r="I4" s="140">
        <v>450</v>
      </c>
      <c r="J4" s="141">
        <f t="shared" si="3"/>
        <v>4.7031098590041842E-2</v>
      </c>
      <c r="K4" s="142">
        <f t="shared" si="4"/>
        <v>34810.5</v>
      </c>
      <c r="L4" s="252">
        <f t="shared" si="5"/>
        <v>0.97795700934579444</v>
      </c>
      <c r="M4" s="215"/>
      <c r="N4" s="144">
        <f t="shared" si="6"/>
        <v>16532.242990654195</v>
      </c>
      <c r="O4" s="143">
        <f t="shared" si="7"/>
        <v>16532.242990654195</v>
      </c>
      <c r="P4" s="144">
        <f t="shared" si="8"/>
        <v>16532.242990654195</v>
      </c>
      <c r="Q4" s="144">
        <f t="shared" si="9"/>
        <v>28028.946428571428</v>
      </c>
      <c r="R4" s="144">
        <f>Q4*22</f>
        <v>616636.82142857136</v>
      </c>
      <c r="S4" s="145">
        <f>R4/C4</f>
        <v>0.82218242857142854</v>
      </c>
      <c r="T4" s="146">
        <f t="shared" si="10"/>
        <v>18185.467289719614</v>
      </c>
      <c r="U4" s="147">
        <f t="shared" si="11"/>
        <v>18185.467289719614</v>
      </c>
      <c r="V4" s="147">
        <f t="shared" si="12"/>
        <v>19838.691588785034</v>
      </c>
      <c r="W4" s="147">
        <f t="shared" si="13"/>
        <v>19838.691588785034</v>
      </c>
      <c r="X4" s="148">
        <f t="shared" si="14"/>
        <v>5.2028958885987922E-2</v>
      </c>
      <c r="Y4" s="148" t="e">
        <f t="shared" si="15"/>
        <v>#DIV/0!</v>
      </c>
      <c r="Z4" s="149">
        <f>_xlfn.XLOOKUP(A4,ยอดขายปีที่แล้ว!B:B,ยอดขายปีที่แล้ว!D:D,0,0)</f>
        <v>661468</v>
      </c>
      <c r="AA4" s="150">
        <f t="shared" si="16"/>
        <v>618194.39252336451</v>
      </c>
      <c r="AB4" s="202">
        <f t="shared" si="17"/>
        <v>733467.75700934581</v>
      </c>
      <c r="AC4" s="155">
        <f t="shared" si="18"/>
        <v>115273.36448598129</v>
      </c>
      <c r="AD4" s="263">
        <f t="shared" si="19"/>
        <v>0.18646782610799006</v>
      </c>
      <c r="AE4" s="149">
        <f>_xlfn.XLOOKUP(A4,ยอดขายเดือนที่เแล้ว!B:B,ยอดขายเดือนที่เแล้ว!D:D,0,0)</f>
        <v>872878</v>
      </c>
      <c r="AF4" s="146">
        <f t="shared" si="20"/>
        <v>815773.83177570091</v>
      </c>
      <c r="AG4" s="205">
        <f t="shared" si="21"/>
        <v>733467.75700934581</v>
      </c>
      <c r="AH4" s="374">
        <f t="shared" ref="AH4:AH21" si="28">AG4-AF4</f>
        <v>-82306.074766355101</v>
      </c>
      <c r="AI4" s="375">
        <f t="shared" ref="AI4:AI21" si="29">(AG4-AF4)/AF4</f>
        <v>-0.10089325197793959</v>
      </c>
      <c r="AJ4" s="151">
        <v>146290</v>
      </c>
      <c r="AK4" s="150">
        <v>171833</v>
      </c>
      <c r="AL4" s="150">
        <v>221080</v>
      </c>
      <c r="AM4" s="372">
        <v>189544</v>
      </c>
      <c r="AN4" s="371">
        <v>218411.5</v>
      </c>
      <c r="AO4" s="357">
        <f t="shared" ref="AO4:AO21" si="30">AN4-AM4</f>
        <v>28867.5</v>
      </c>
      <c r="AP4" s="335">
        <f t="shared" ref="AP4:AP21" si="31">(AN4-AM4)/AM4</f>
        <v>0.15229972987802304</v>
      </c>
      <c r="AQ4" s="152"/>
      <c r="AR4" s="153"/>
      <c r="AS4" s="129" t="str">
        <f t="shared" ref="AS4:AS9" si="32">A4</f>
        <v>Yuedpao สาขา The Mall โคราช</v>
      </c>
      <c r="AT4" s="130">
        <f t="shared" ref="AT4:AT9" si="33">C4</f>
        <v>750000</v>
      </c>
      <c r="AU4" s="130">
        <f t="shared" ref="AU4:AU9" si="34">F4</f>
        <v>733467.75700934581</v>
      </c>
      <c r="AV4" s="131">
        <f t="shared" si="22"/>
        <v>26195.277036048064</v>
      </c>
      <c r="AW4" s="132">
        <f t="shared" si="23"/>
        <v>759663.03404539381</v>
      </c>
      <c r="AX4" s="367">
        <f t="shared" si="24"/>
        <v>1.0128840453938583</v>
      </c>
      <c r="AY4" s="317">
        <f t="shared" si="25"/>
        <v>39292.915554072097</v>
      </c>
      <c r="AZ4" s="318">
        <f t="shared" si="26"/>
        <v>772760.67256341793</v>
      </c>
      <c r="BA4" s="228">
        <f t="shared" si="27"/>
        <v>1.0303475634178905</v>
      </c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</row>
    <row r="5" spans="1:73" s="154" customFormat="1" ht="60" customHeight="1" x14ac:dyDescent="0.15">
      <c r="A5" s="137" t="s">
        <v>1</v>
      </c>
      <c r="B5" s="138">
        <f t="shared" ref="B5:B9" si="35">(C5*7)/100+C5</f>
        <v>1016500</v>
      </c>
      <c r="C5" s="139">
        <f>_xlfn.XLOOKUP(A5,'Target ปี 2026'!B:B,'Target ปี 2026'!C:C,0,0)</f>
        <v>950000</v>
      </c>
      <c r="D5" s="139">
        <f t="shared" si="0"/>
        <v>31666.666666666668</v>
      </c>
      <c r="E5" s="202">
        <f>_xlfn.XLOOKUP(A5,ยอดขายปัจจุบัน!B:B,ยอดขายปัจจุบัน!D:D,0,0)</f>
        <v>973986.2</v>
      </c>
      <c r="F5" s="202">
        <f t="shared" si="1"/>
        <v>910267.47663551406</v>
      </c>
      <c r="G5" s="202">
        <f>_xlfn.XLOOKUP(A5,ยอดขายปัจจุบัน!B:B,ยอดขายปัจจุบัน!C:C,0,0)</f>
        <v>1757</v>
      </c>
      <c r="H5" s="203">
        <f t="shared" si="2"/>
        <v>554.34615822424587</v>
      </c>
      <c r="I5" s="140">
        <v>450</v>
      </c>
      <c r="J5" s="141">
        <f t="shared" si="3"/>
        <v>0.18823285175909063</v>
      </c>
      <c r="K5" s="142">
        <f t="shared" si="4"/>
        <v>23986.199999999953</v>
      </c>
      <c r="L5" s="252">
        <f t="shared" si="5"/>
        <v>0.95817629119527792</v>
      </c>
      <c r="M5" s="215"/>
      <c r="N5" s="144">
        <f t="shared" si="6"/>
        <v>39732.52336448594</v>
      </c>
      <c r="O5" s="143">
        <f t="shared" si="7"/>
        <v>39732.52336448594</v>
      </c>
      <c r="P5" s="144">
        <f t="shared" si="8"/>
        <v>39732.52336448594</v>
      </c>
      <c r="Q5" s="144">
        <f t="shared" si="9"/>
        <v>34785.221428571429</v>
      </c>
      <c r="R5" s="144">
        <f t="shared" ref="R5:R9" si="36">Q5*22</f>
        <v>765274.87142857141</v>
      </c>
      <c r="S5" s="145">
        <f t="shared" ref="S5:S9" si="37">R5/C5</f>
        <v>0.80555249624060143</v>
      </c>
      <c r="T5" s="146">
        <f t="shared" si="10"/>
        <v>43705.775700934537</v>
      </c>
      <c r="U5" s="147">
        <f t="shared" si="11"/>
        <v>43705.775700934537</v>
      </c>
      <c r="V5" s="147">
        <f t="shared" si="12"/>
        <v>47679.028037383127</v>
      </c>
      <c r="W5" s="147">
        <f t="shared" si="13"/>
        <v>47679.028037383127</v>
      </c>
      <c r="X5" s="148">
        <f t="shared" si="14"/>
        <v>6.4570349091047585E-2</v>
      </c>
      <c r="Y5" s="148" t="e">
        <f t="shared" si="15"/>
        <v>#DIV/0!</v>
      </c>
      <c r="Z5" s="149">
        <f>_xlfn.XLOOKUP(A5,ยอดขายปีที่แล้ว!B:B,ยอดขายปีที่แล้ว!D:D,0,0)</f>
        <v>872143.25</v>
      </c>
      <c r="AA5" s="150">
        <f t="shared" si="16"/>
        <v>815087.14953271032</v>
      </c>
      <c r="AB5" s="202">
        <f t="shared" si="17"/>
        <v>910267.47663551406</v>
      </c>
      <c r="AC5" s="155">
        <f t="shared" ref="AC5:AC6" si="38">AB5-AA5</f>
        <v>95180.327102803742</v>
      </c>
      <c r="AD5" s="263">
        <f t="shared" ref="AD5:AD6" si="39">(AB5-AA5)/AA5</f>
        <v>0.11677319064270691</v>
      </c>
      <c r="AE5" s="149">
        <f>_xlfn.XLOOKUP(A5,ยอดขายเดือนที่เแล้ว!B:B,ยอดขายเดือนที่เแล้ว!D:D,0,0)</f>
        <v>945055.2</v>
      </c>
      <c r="AF5" s="146">
        <f t="shared" si="20"/>
        <v>883229.15887850465</v>
      </c>
      <c r="AG5" s="205">
        <f t="shared" si="21"/>
        <v>910267.47663551406</v>
      </c>
      <c r="AH5" s="364">
        <f t="shared" si="28"/>
        <v>27038.317757009412</v>
      </c>
      <c r="AI5" s="370">
        <f t="shared" si="29"/>
        <v>3.0613026625323125E-2</v>
      </c>
      <c r="AJ5" s="151">
        <v>182451</v>
      </c>
      <c r="AK5" s="150">
        <v>211906</v>
      </c>
      <c r="AL5" s="150">
        <v>239408</v>
      </c>
      <c r="AM5" s="372">
        <v>256643.20000000001</v>
      </c>
      <c r="AN5" s="371">
        <v>263920</v>
      </c>
      <c r="AO5" s="357">
        <f t="shared" si="30"/>
        <v>7276.7999999999884</v>
      </c>
      <c r="AP5" s="335">
        <f t="shared" si="31"/>
        <v>2.8353761175047645E-2</v>
      </c>
      <c r="AQ5" s="152"/>
      <c r="AR5" s="153"/>
      <c r="AS5" s="129" t="str">
        <f t="shared" si="32"/>
        <v>Yuedpao สาขา SIAM SQUARE</v>
      </c>
      <c r="AT5" s="130">
        <f t="shared" si="33"/>
        <v>950000</v>
      </c>
      <c r="AU5" s="130">
        <f t="shared" si="34"/>
        <v>910267.47663551406</v>
      </c>
      <c r="AV5" s="131">
        <f t="shared" si="22"/>
        <v>32509.552736982645</v>
      </c>
      <c r="AW5" s="132">
        <f t="shared" si="23"/>
        <v>942777.02937249676</v>
      </c>
      <c r="AX5" s="367">
        <f t="shared" si="24"/>
        <v>0.99239687302368085</v>
      </c>
      <c r="AY5" s="317">
        <f t="shared" si="25"/>
        <v>48764.329105473968</v>
      </c>
      <c r="AZ5" s="318">
        <f t="shared" si="26"/>
        <v>959031.805740988</v>
      </c>
      <c r="BA5" s="228">
        <f t="shared" si="27"/>
        <v>1.0095071639378821</v>
      </c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</row>
    <row r="6" spans="1:73" s="154" customFormat="1" ht="60" customHeight="1" x14ac:dyDescent="0.15">
      <c r="A6" s="137" t="s">
        <v>107</v>
      </c>
      <c r="B6" s="138">
        <f t="shared" si="35"/>
        <v>1070000</v>
      </c>
      <c r="C6" s="139">
        <f>_xlfn.XLOOKUP(A6,'Target ปี 2026'!B:B,'Target ปี 2026'!C:C,0,0)</f>
        <v>1000000</v>
      </c>
      <c r="D6" s="139">
        <f t="shared" si="0"/>
        <v>33333.333333333336</v>
      </c>
      <c r="E6" s="202">
        <f>_xlfn.XLOOKUP(A6,ยอดขายปัจจุบัน!B:B,ยอดขายปัจจุบัน!D:D,0,0)</f>
        <v>1286829.5</v>
      </c>
      <c r="F6" s="202">
        <f t="shared" si="1"/>
        <v>1202644.3925233644</v>
      </c>
      <c r="G6" s="202">
        <f>_xlfn.XLOOKUP(A6,ยอดขายปัจจุบัน!B:B,ยอดขายปัจจุบัน!C:C,0,0)</f>
        <v>2478</v>
      </c>
      <c r="H6" s="203">
        <f t="shared" si="2"/>
        <v>519.30165456012912</v>
      </c>
      <c r="I6" s="140">
        <v>450</v>
      </c>
      <c r="J6" s="156">
        <f t="shared" si="3"/>
        <v>0.13345163442398544</v>
      </c>
      <c r="K6" s="142">
        <f t="shared" si="4"/>
        <v>286829.5</v>
      </c>
      <c r="L6" s="369">
        <f t="shared" si="5"/>
        <v>1.2026443925233643</v>
      </c>
      <c r="M6" s="215"/>
      <c r="N6" s="144">
        <f t="shared" si="6"/>
        <v>-202644.3925233644</v>
      </c>
      <c r="O6" s="143">
        <f t="shared" si="7"/>
        <v>-202644.3925233644</v>
      </c>
      <c r="P6" s="144">
        <f t="shared" si="8"/>
        <v>-202644.3925233644</v>
      </c>
      <c r="Q6" s="144">
        <f t="shared" si="9"/>
        <v>45958.196428571428</v>
      </c>
      <c r="R6" s="144">
        <f t="shared" si="36"/>
        <v>1011080.3214285714</v>
      </c>
      <c r="S6" s="145">
        <f t="shared" si="37"/>
        <v>1.0110803214285713</v>
      </c>
      <c r="T6" s="146">
        <f t="shared" si="10"/>
        <v>-222908.83177570085</v>
      </c>
      <c r="U6" s="147">
        <f t="shared" si="11"/>
        <v>-222908.83177570085</v>
      </c>
      <c r="V6" s="147">
        <f t="shared" si="12"/>
        <v>-243173.27102803727</v>
      </c>
      <c r="W6" s="147">
        <f t="shared" si="13"/>
        <v>-243173.27102803727</v>
      </c>
      <c r="X6" s="148">
        <f t="shared" si="14"/>
        <v>8.5310274453229654E-2</v>
      </c>
      <c r="Y6" s="148" t="e">
        <f t="shared" si="15"/>
        <v>#DIV/0!</v>
      </c>
      <c r="Z6" s="149">
        <f>_xlfn.XLOOKUP(A6,ยอดขายปีที่แล้ว!B:B,ยอดขายปีที่แล้ว!D:D,0,0)</f>
        <v>978405</v>
      </c>
      <c r="AA6" s="150">
        <f t="shared" si="16"/>
        <v>914397.1962616822</v>
      </c>
      <c r="AB6" s="202">
        <f t="shared" si="17"/>
        <v>1202644.3925233644</v>
      </c>
      <c r="AC6" s="155">
        <f t="shared" si="38"/>
        <v>288247.1962616822</v>
      </c>
      <c r="AD6" s="263">
        <f t="shared" si="39"/>
        <v>0.31523193360622642</v>
      </c>
      <c r="AE6" s="149">
        <f>_xlfn.XLOOKUP(A6,ยอดขายเดือนที่เแล้ว!B:B,ยอดขายเดือนที่เแล้ว!D:D,0,0)</f>
        <v>1198422</v>
      </c>
      <c r="AF6" s="150">
        <f t="shared" si="20"/>
        <v>1120020.5607476635</v>
      </c>
      <c r="AG6" s="205">
        <f t="shared" si="21"/>
        <v>1202644.3925233644</v>
      </c>
      <c r="AH6" s="364">
        <f t="shared" si="28"/>
        <v>82623.831775700906</v>
      </c>
      <c r="AI6" s="370">
        <f t="shared" si="29"/>
        <v>7.3769924116880339E-2</v>
      </c>
      <c r="AJ6" s="151">
        <v>277084</v>
      </c>
      <c r="AK6" s="150">
        <v>301335</v>
      </c>
      <c r="AL6" s="150">
        <v>299940.5</v>
      </c>
      <c r="AM6" s="372">
        <v>337207</v>
      </c>
      <c r="AN6" s="371">
        <v>360601</v>
      </c>
      <c r="AO6" s="357">
        <f t="shared" si="30"/>
        <v>23394</v>
      </c>
      <c r="AP6" s="335">
        <f t="shared" si="31"/>
        <v>6.937578401397361E-2</v>
      </c>
      <c r="AQ6" s="152"/>
      <c r="AR6" s="153"/>
      <c r="AS6" s="129" t="str">
        <f t="shared" si="32"/>
        <v>Yuedpao สาขา Central ระยอง</v>
      </c>
      <c r="AT6" s="130">
        <f t="shared" si="33"/>
        <v>1000000</v>
      </c>
      <c r="AU6" s="130">
        <f t="shared" si="34"/>
        <v>1202644.3925233644</v>
      </c>
      <c r="AV6" s="131">
        <f t="shared" si="22"/>
        <v>42951.585447263016</v>
      </c>
      <c r="AW6" s="132">
        <f t="shared" si="23"/>
        <v>1245595.9779706274</v>
      </c>
      <c r="AX6" s="367">
        <f t="shared" si="24"/>
        <v>1.2455959779706274</v>
      </c>
      <c r="AY6" s="317">
        <f t="shared" si="25"/>
        <v>64427.378170894524</v>
      </c>
      <c r="AZ6" s="318">
        <f t="shared" si="26"/>
        <v>1267071.7706942589</v>
      </c>
      <c r="BA6" s="228">
        <f t="shared" si="27"/>
        <v>1.2670717706942589</v>
      </c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</row>
    <row r="7" spans="1:73" s="154" customFormat="1" ht="60" customHeight="1" x14ac:dyDescent="0.15">
      <c r="A7" s="137" t="s">
        <v>158</v>
      </c>
      <c r="B7" s="138">
        <f t="shared" si="35"/>
        <v>535000</v>
      </c>
      <c r="C7" s="139">
        <f>_xlfn.XLOOKUP(A7,'Target ปี 2026'!B:B,'Target ปี 2026'!C:C,0,0)</f>
        <v>500000</v>
      </c>
      <c r="D7" s="139">
        <f t="shared" si="0"/>
        <v>16666.666666666668</v>
      </c>
      <c r="E7" s="202">
        <f>_xlfn.XLOOKUP(A7,ยอดขายปัจจุบัน!B:B,ยอดขายปัจจุบัน!D:D,0,0)</f>
        <v>610704.5</v>
      </c>
      <c r="F7" s="202">
        <f t="shared" si="1"/>
        <v>570751.86915887846</v>
      </c>
      <c r="G7" s="202">
        <f>_xlfn.XLOOKUP(A7,ยอดขายปัจจุบัน!B:B,ยอดขายปัจจุบัน!C:C,0,0)</f>
        <v>1315</v>
      </c>
      <c r="H7" s="203">
        <f t="shared" si="2"/>
        <v>464.41406844106461</v>
      </c>
      <c r="I7" s="140">
        <v>450</v>
      </c>
      <c r="J7" s="141">
        <f t="shared" si="3"/>
        <v>3.1037105506836724E-2</v>
      </c>
      <c r="K7" s="142">
        <f t="shared" si="4"/>
        <v>110704.5</v>
      </c>
      <c r="L7" s="369">
        <f t="shared" si="5"/>
        <v>1.1415037383177569</v>
      </c>
      <c r="M7" s="215"/>
      <c r="N7" s="144">
        <f t="shared" si="6"/>
        <v>-70751.869158878457</v>
      </c>
      <c r="O7" s="143">
        <f t="shared" si="7"/>
        <v>-70751.869158878457</v>
      </c>
      <c r="P7" s="144">
        <f t="shared" si="8"/>
        <v>-70751.869158878457</v>
      </c>
      <c r="Q7" s="144">
        <f t="shared" si="9"/>
        <v>21810.875</v>
      </c>
      <c r="R7" s="144">
        <f t="shared" si="36"/>
        <v>479839.25</v>
      </c>
      <c r="S7" s="145">
        <f t="shared" si="37"/>
        <v>0.95967849999999999</v>
      </c>
      <c r="T7" s="146">
        <f t="shared" si="10"/>
        <v>-77827.056074766311</v>
      </c>
      <c r="U7" s="147">
        <f t="shared" si="11"/>
        <v>-77827.056074766311</v>
      </c>
      <c r="V7" s="147">
        <f t="shared" si="12"/>
        <v>-84902.242990654151</v>
      </c>
      <c r="W7" s="147">
        <f t="shared" si="13"/>
        <v>-84902.242990654151</v>
      </c>
      <c r="X7" s="148">
        <f t="shared" si="14"/>
        <v>4.0486613420676471E-2</v>
      </c>
      <c r="Y7" s="148" t="e">
        <f t="shared" si="15"/>
        <v>#DIV/0!</v>
      </c>
      <c r="Z7" s="149">
        <f>_xlfn.XLOOKUP(A7,ยอดขายปีที่แล้ว!B:B,ยอดขายปีที่แล้ว!D:D,0,0)</f>
        <v>374592</v>
      </c>
      <c r="AA7" s="150">
        <f t="shared" si="16"/>
        <v>350085.98130841122</v>
      </c>
      <c r="AB7" s="202">
        <f t="shared" si="17"/>
        <v>570751.86915887846</v>
      </c>
      <c r="AC7" s="155">
        <f t="shared" si="18"/>
        <v>220665.88785046723</v>
      </c>
      <c r="AD7" s="263">
        <f t="shared" si="19"/>
        <v>0.63031912053647687</v>
      </c>
      <c r="AE7" s="149">
        <f>_xlfn.XLOOKUP(A7,ยอดขายเดือนที่เแล้ว!B:B,ยอดขายเดือนที่เแล้ว!D:D,0,0)</f>
        <v>620565</v>
      </c>
      <c r="AF7" s="146">
        <f t="shared" si="20"/>
        <v>579967.28971962619</v>
      </c>
      <c r="AG7" s="205">
        <f t="shared" si="21"/>
        <v>570751.86915887846</v>
      </c>
      <c r="AH7" s="374">
        <f t="shared" si="28"/>
        <v>-9215.4205607477343</v>
      </c>
      <c r="AI7" s="375">
        <f t="shared" si="29"/>
        <v>-1.5889552262857355E-2</v>
      </c>
      <c r="AJ7" s="151">
        <v>122494</v>
      </c>
      <c r="AK7" s="150">
        <v>134410.5</v>
      </c>
      <c r="AL7" s="150">
        <v>167744</v>
      </c>
      <c r="AM7" s="372">
        <v>143604</v>
      </c>
      <c r="AN7" s="371">
        <v>165756</v>
      </c>
      <c r="AO7" s="357">
        <f t="shared" si="30"/>
        <v>22152</v>
      </c>
      <c r="AP7" s="335">
        <f t="shared" si="31"/>
        <v>0.15425754157265814</v>
      </c>
      <c r="AQ7" s="152"/>
      <c r="AR7" s="153"/>
      <c r="AS7" s="129" t="str">
        <f t="shared" si="32"/>
        <v>Yuedpao สาขา Central โคราช</v>
      </c>
      <c r="AT7" s="130">
        <f t="shared" si="33"/>
        <v>500000</v>
      </c>
      <c r="AU7" s="130">
        <f t="shared" si="34"/>
        <v>570751.86915887846</v>
      </c>
      <c r="AV7" s="131">
        <f t="shared" si="22"/>
        <v>20383.995327102803</v>
      </c>
      <c r="AW7" s="132">
        <f t="shared" si="23"/>
        <v>591135.86448598129</v>
      </c>
      <c r="AX7" s="367">
        <f t="shared" si="24"/>
        <v>1.1822717289719626</v>
      </c>
      <c r="AY7" s="317">
        <f t="shared" si="25"/>
        <v>30575.992990654202</v>
      </c>
      <c r="AZ7" s="318">
        <f t="shared" si="26"/>
        <v>601327.86214953265</v>
      </c>
      <c r="BA7" s="228">
        <f t="shared" si="27"/>
        <v>1.2026557242990652</v>
      </c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</row>
    <row r="8" spans="1:73" s="154" customFormat="1" ht="60" customHeight="1" x14ac:dyDescent="0.15">
      <c r="A8" s="137" t="s">
        <v>196</v>
      </c>
      <c r="B8" s="138">
        <f t="shared" si="35"/>
        <v>535000</v>
      </c>
      <c r="C8" s="139">
        <f>_xlfn.XLOOKUP(A8,'Target ปี 2026'!B:B,'Target ปี 2026'!C:C,0,0)</f>
        <v>500000</v>
      </c>
      <c r="D8" s="139">
        <f t="shared" si="0"/>
        <v>16666.666666666668</v>
      </c>
      <c r="E8" s="202">
        <f>_xlfn.XLOOKUP(A8,ยอดขายปัจจุบัน!B:B,ยอดขายปัจจุบัน!D:D,0,0)</f>
        <v>575938</v>
      </c>
      <c r="F8" s="202">
        <f t="shared" si="1"/>
        <v>538259.81308411213</v>
      </c>
      <c r="G8" s="202">
        <f>_xlfn.XLOOKUP(A8,ยอดขายปัจจุบัน!B:B,ยอดขายปัจจุบัน!C:C,0,0)</f>
        <v>1183</v>
      </c>
      <c r="H8" s="203">
        <f t="shared" si="2"/>
        <v>486.84530853761623</v>
      </c>
      <c r="I8" s="140">
        <v>330</v>
      </c>
      <c r="J8" s="141">
        <f t="shared" si="3"/>
        <v>0.32216662210168456</v>
      </c>
      <c r="K8" s="142">
        <f t="shared" si="4"/>
        <v>75938</v>
      </c>
      <c r="L8" s="369">
        <f t="shared" si="5"/>
        <v>1.0765196261682242</v>
      </c>
      <c r="M8" s="215"/>
      <c r="N8" s="144">
        <f t="shared" si="6"/>
        <v>-38259.813084112131</v>
      </c>
      <c r="O8" s="143">
        <f t="shared" si="7"/>
        <v>-38259.813084112131</v>
      </c>
      <c r="P8" s="144">
        <f t="shared" si="8"/>
        <v>-38259.813084112131</v>
      </c>
      <c r="Q8" s="144">
        <f t="shared" si="9"/>
        <v>20569.214285714286</v>
      </c>
      <c r="R8" s="144">
        <f t="shared" si="36"/>
        <v>452522.71428571432</v>
      </c>
      <c r="S8" s="145">
        <f t="shared" si="37"/>
        <v>0.90504542857142867</v>
      </c>
      <c r="T8" s="146">
        <f t="shared" si="10"/>
        <v>-42085.794392523349</v>
      </c>
      <c r="U8" s="147">
        <f t="shared" si="11"/>
        <v>-42085.794392523349</v>
      </c>
      <c r="V8" s="147">
        <f t="shared" si="12"/>
        <v>-45911.775700934559</v>
      </c>
      <c r="W8" s="147">
        <f t="shared" si="13"/>
        <v>-45911.775700934559</v>
      </c>
      <c r="X8" s="148">
        <f t="shared" si="14"/>
        <v>3.8181770660405422E-2</v>
      </c>
      <c r="Y8" s="148" t="e">
        <f t="shared" si="15"/>
        <v>#DIV/0!</v>
      </c>
      <c r="Z8" s="149">
        <f>_xlfn.XLOOKUP(A8,ยอดขายปีที่แล้ว!B:B,ยอดขายปีที่แล้ว!D:D,0,0)</f>
        <v>365093</v>
      </c>
      <c r="AA8" s="150">
        <f t="shared" si="16"/>
        <v>341208.41121495329</v>
      </c>
      <c r="AB8" s="202">
        <f t="shared" si="17"/>
        <v>538259.81308411213</v>
      </c>
      <c r="AC8" s="155">
        <f t="shared" si="18"/>
        <v>197051.40186915884</v>
      </c>
      <c r="AD8" s="263">
        <f t="shared" si="19"/>
        <v>0.57751038776421337</v>
      </c>
      <c r="AE8" s="149">
        <f>_xlfn.XLOOKUP(A8,ยอดขายเดือนที่เแล้ว!B:B,ยอดขายเดือนที่เแล้ว!D:D,0,0)</f>
        <v>629096</v>
      </c>
      <c r="AF8" s="146">
        <f t="shared" si="20"/>
        <v>587940.18691588787</v>
      </c>
      <c r="AG8" s="205">
        <f t="shared" si="21"/>
        <v>538259.81308411213</v>
      </c>
      <c r="AH8" s="374">
        <f t="shared" si="28"/>
        <v>-49680.373831775738</v>
      </c>
      <c r="AI8" s="375">
        <f t="shared" si="29"/>
        <v>-8.4499027175502686E-2</v>
      </c>
      <c r="AJ8" s="151">
        <v>97709</v>
      </c>
      <c r="AK8" s="150">
        <v>121420</v>
      </c>
      <c r="AL8" s="150">
        <v>158253</v>
      </c>
      <c r="AM8" s="372">
        <v>125354</v>
      </c>
      <c r="AN8" s="371">
        <v>187814</v>
      </c>
      <c r="AO8" s="357">
        <f t="shared" si="30"/>
        <v>62460</v>
      </c>
      <c r="AP8" s="335">
        <f t="shared" si="31"/>
        <v>0.49826890246821004</v>
      </c>
      <c r="AQ8" s="152"/>
      <c r="AR8" s="153"/>
      <c r="AS8" s="129" t="str">
        <f t="shared" si="32"/>
        <v>Yuedpao สาขา Robinson บุรีรัมย์</v>
      </c>
      <c r="AT8" s="130">
        <f t="shared" si="33"/>
        <v>500000</v>
      </c>
      <c r="AU8" s="130">
        <f t="shared" si="34"/>
        <v>538259.81308411213</v>
      </c>
      <c r="AV8" s="131">
        <f t="shared" si="22"/>
        <v>19223.564753004004</v>
      </c>
      <c r="AW8" s="132">
        <f t="shared" si="23"/>
        <v>557483.37783711613</v>
      </c>
      <c r="AX8" s="367">
        <f t="shared" si="24"/>
        <v>1.1149667556742322</v>
      </c>
      <c r="AY8" s="317">
        <f t="shared" si="25"/>
        <v>28835.347129506008</v>
      </c>
      <c r="AZ8" s="318">
        <f t="shared" si="26"/>
        <v>567095.16021361819</v>
      </c>
      <c r="BA8" s="228">
        <f t="shared" si="27"/>
        <v>1.1341903204272363</v>
      </c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</row>
    <row r="9" spans="1:73" s="154" customFormat="1" ht="60" customHeight="1" x14ac:dyDescent="0.15">
      <c r="A9" s="137" t="s">
        <v>246</v>
      </c>
      <c r="B9" s="138">
        <f t="shared" si="35"/>
        <v>1070000</v>
      </c>
      <c r="C9" s="139">
        <f>_xlfn.XLOOKUP(A9,'Target ปี 2026'!B:B,'Target ปี 2026'!C:C,0,0)</f>
        <v>1000000</v>
      </c>
      <c r="D9" s="139">
        <f t="shared" si="0"/>
        <v>33333.333333333336</v>
      </c>
      <c r="E9" s="202">
        <f>_xlfn.XLOOKUP(A9,ยอดขายปัจจุบัน!B:B,ยอดขายปัจจุบัน!D:D,0,0)</f>
        <v>1221787.5</v>
      </c>
      <c r="F9" s="202">
        <f t="shared" si="1"/>
        <v>1141857.4766355141</v>
      </c>
      <c r="G9" s="202">
        <f>_xlfn.XLOOKUP(A9,ยอดขายปัจจุบัน!B:B,ยอดขายปัจจุบัน!C:C,0,0)</f>
        <v>3197</v>
      </c>
      <c r="H9" s="203">
        <f t="shared" si="2"/>
        <v>382.16687519549578</v>
      </c>
      <c r="I9" s="140">
        <v>450</v>
      </c>
      <c r="J9" s="156">
        <f t="shared" si="3"/>
        <v>-0.17749608667628372</v>
      </c>
      <c r="K9" s="142">
        <f t="shared" si="4"/>
        <v>221787.5</v>
      </c>
      <c r="L9" s="369">
        <f t="shared" si="5"/>
        <v>1.1418574766355141</v>
      </c>
      <c r="M9" s="215"/>
      <c r="N9" s="144">
        <f t="shared" si="6"/>
        <v>-141857.47663551406</v>
      </c>
      <c r="O9" s="143">
        <f t="shared" si="7"/>
        <v>-141857.47663551406</v>
      </c>
      <c r="P9" s="144">
        <f t="shared" si="8"/>
        <v>-141857.47663551406</v>
      </c>
      <c r="Q9" s="144">
        <f t="shared" si="9"/>
        <v>43635.267857142855</v>
      </c>
      <c r="R9" s="144">
        <f t="shared" si="36"/>
        <v>959975.89285714284</v>
      </c>
      <c r="S9" s="145">
        <f t="shared" si="37"/>
        <v>0.9599758928571428</v>
      </c>
      <c r="T9" s="146">
        <f t="shared" si="10"/>
        <v>-156043.22429906548</v>
      </c>
      <c r="U9" s="147">
        <f t="shared" si="11"/>
        <v>-156043.22429906548</v>
      </c>
      <c r="V9" s="147">
        <f t="shared" si="12"/>
        <v>-170228.97196261687</v>
      </c>
      <c r="W9" s="147">
        <f t="shared" si="13"/>
        <v>-170228.97196261687</v>
      </c>
      <c r="X9" s="148">
        <f t="shared" si="14"/>
        <v>8.0998319473189986E-2</v>
      </c>
      <c r="Y9" s="148" t="e">
        <f t="shared" si="15"/>
        <v>#DIV/0!</v>
      </c>
      <c r="Z9" s="149">
        <f>_xlfn.XLOOKUP(A9,ยอดขายปีที่แล้ว!B:B,ยอดขายปีที่แล้ว!D:D,0,0)</f>
        <v>952367.5</v>
      </c>
      <c r="AA9" s="150">
        <f t="shared" si="16"/>
        <v>890063.08411214955</v>
      </c>
      <c r="AB9" s="202">
        <f t="shared" si="17"/>
        <v>1141857.4766355141</v>
      </c>
      <c r="AC9" s="155">
        <f t="shared" si="18"/>
        <v>251794.39252336451</v>
      </c>
      <c r="AD9" s="263">
        <f t="shared" si="19"/>
        <v>0.28289499589181699</v>
      </c>
      <c r="AE9" s="149">
        <f>_xlfn.XLOOKUP(A9,ยอดขายเดือนที่เแล้ว!B:B,ยอดขายเดือนที่เแล้ว!D:D,0,0)</f>
        <v>1474698</v>
      </c>
      <c r="AF9" s="146">
        <f t="shared" si="20"/>
        <v>1378222.4299065419</v>
      </c>
      <c r="AG9" s="205">
        <f t="shared" si="21"/>
        <v>1141857.4766355141</v>
      </c>
      <c r="AH9" s="374">
        <f t="shared" si="28"/>
        <v>-236364.95327102789</v>
      </c>
      <c r="AI9" s="375">
        <f t="shared" si="29"/>
        <v>-0.17149985963227715</v>
      </c>
      <c r="AJ9" s="151">
        <v>303023</v>
      </c>
      <c r="AK9" s="150">
        <v>259680</v>
      </c>
      <c r="AL9" s="150">
        <v>312872</v>
      </c>
      <c r="AM9" s="372">
        <v>311095.5</v>
      </c>
      <c r="AN9" s="371">
        <v>332518</v>
      </c>
      <c r="AO9" s="357">
        <f t="shared" si="30"/>
        <v>21422.5</v>
      </c>
      <c r="AP9" s="335">
        <f t="shared" si="31"/>
        <v>6.8861491085534826E-2</v>
      </c>
      <c r="AQ9" s="152" t="s">
        <v>338</v>
      </c>
      <c r="AR9" s="153"/>
      <c r="AS9" s="129" t="str">
        <f t="shared" si="32"/>
        <v>Yuedpao สาขา MAYA เชียงใหม่</v>
      </c>
      <c r="AT9" s="130">
        <f t="shared" si="33"/>
        <v>1000000</v>
      </c>
      <c r="AU9" s="130">
        <f t="shared" si="34"/>
        <v>1141857.4766355141</v>
      </c>
      <c r="AV9" s="131">
        <f t="shared" si="22"/>
        <v>40780.624165554073</v>
      </c>
      <c r="AW9" s="132">
        <f t="shared" si="23"/>
        <v>1182638.1008010681</v>
      </c>
      <c r="AX9" s="349">
        <f t="shared" si="24"/>
        <v>1.182638100801068</v>
      </c>
      <c r="AY9" s="317">
        <f t="shared" si="25"/>
        <v>61170.936248331112</v>
      </c>
      <c r="AZ9" s="318">
        <f t="shared" si="26"/>
        <v>1203028.4128838452</v>
      </c>
      <c r="BA9" s="228">
        <f t="shared" si="27"/>
        <v>1.2030284128838451</v>
      </c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</row>
    <row r="10" spans="1:73" s="154" customFormat="1" ht="21" customHeight="1" x14ac:dyDescent="0.15">
      <c r="A10" s="253" t="s">
        <v>304</v>
      </c>
      <c r="B10" s="216"/>
      <c r="C10" s="217"/>
      <c r="D10" s="217"/>
      <c r="E10" s="218"/>
      <c r="F10" s="218"/>
      <c r="G10" s="218"/>
      <c r="H10" s="219"/>
      <c r="I10" s="220"/>
      <c r="J10" s="221"/>
      <c r="K10" s="221"/>
      <c r="L10" s="221"/>
      <c r="M10" s="221"/>
      <c r="N10" s="222"/>
      <c r="O10" s="217"/>
      <c r="P10" s="222"/>
      <c r="Q10" s="222"/>
      <c r="R10" s="222"/>
      <c r="S10" s="223"/>
      <c r="T10" s="217"/>
      <c r="U10" s="224"/>
      <c r="V10" s="224"/>
      <c r="W10" s="224"/>
      <c r="X10" s="225"/>
      <c r="Y10" s="225"/>
      <c r="Z10" s="217"/>
      <c r="AA10" s="218"/>
      <c r="AB10" s="218"/>
      <c r="AC10" s="218"/>
      <c r="AD10" s="218"/>
      <c r="AE10" s="218"/>
      <c r="AF10" s="217"/>
      <c r="AG10" s="217"/>
      <c r="AH10" s="217"/>
      <c r="AI10" s="217"/>
      <c r="AJ10" s="218"/>
      <c r="AK10" s="218"/>
      <c r="AL10" s="218"/>
      <c r="AM10" s="218"/>
      <c r="AN10" s="218"/>
      <c r="AO10" s="218"/>
      <c r="AP10" s="218"/>
      <c r="AQ10" s="226"/>
      <c r="AR10" s="153"/>
      <c r="AS10" s="360" t="s">
        <v>304</v>
      </c>
      <c r="AT10" s="229"/>
      <c r="AU10" s="229"/>
      <c r="AV10" s="230"/>
      <c r="AW10" s="231"/>
      <c r="AX10" s="231"/>
      <c r="AY10" s="319"/>
      <c r="AZ10" s="319"/>
      <c r="BA10" s="319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</row>
    <row r="11" spans="1:73" s="154" customFormat="1" ht="60" customHeight="1" x14ac:dyDescent="0.15">
      <c r="A11" s="137" t="s">
        <v>78</v>
      </c>
      <c r="B11" s="138">
        <f>(C11*7)/100+C11</f>
        <v>2354000</v>
      </c>
      <c r="C11" s="139">
        <f>_xlfn.XLOOKUP(A11,'Target ปี 2026'!B:B,'Target ปี 2026'!C:C,0,0)</f>
        <v>2200000</v>
      </c>
      <c r="D11" s="139">
        <f t="shared" ref="D11:D16" si="40">C11/30</f>
        <v>73333.333333333328</v>
      </c>
      <c r="E11" s="202">
        <f>_xlfn.XLOOKUP(A11,ยอดขายปัจจุบัน!B:B,ยอดขายปัจจุบัน!D:D,0,0)</f>
        <v>1807232</v>
      </c>
      <c r="F11" s="202">
        <f t="shared" ref="F11:F16" si="41">E11*100/107</f>
        <v>1689001.8691588785</v>
      </c>
      <c r="G11" s="202">
        <f>_xlfn.XLOOKUP(A11,ยอดขายปัจจุบัน!B:B,ยอดขายปัจจุบัน!C:C,0,0)</f>
        <v>3688</v>
      </c>
      <c r="H11" s="203">
        <f t="shared" ref="H11:H16" si="42">E11/G11</f>
        <v>490.03036876355748</v>
      </c>
      <c r="I11" s="140">
        <v>400</v>
      </c>
      <c r="J11" s="141">
        <f t="shared" ref="J11:J21" si="43">(H11-I11)/H11</f>
        <v>0.18372405977760464</v>
      </c>
      <c r="K11" s="142">
        <f t="shared" ref="K11:K16" si="44">(E11-C11)/$E$36</f>
        <v>-392768</v>
      </c>
      <c r="L11" s="252">
        <f t="shared" si="5"/>
        <v>0.76772812234494481</v>
      </c>
      <c r="M11" s="204"/>
      <c r="N11" s="144">
        <f t="shared" ref="N11:N16" si="45">C11-F11</f>
        <v>510998.13084112154</v>
      </c>
      <c r="O11" s="143">
        <f t="shared" ref="O11:O16" si="46">N11/$E$36</f>
        <v>510998.13084112154</v>
      </c>
      <c r="P11" s="144">
        <f t="shared" ref="P11:P16" si="47">SUM(N11/$E$36)</f>
        <v>510998.13084112154</v>
      </c>
      <c r="Q11" s="144">
        <f t="shared" ref="Q11:Q16" si="48">E11/$D$36</f>
        <v>64544</v>
      </c>
      <c r="R11" s="144">
        <f t="shared" ref="R11:R16" si="49">Q11*22</f>
        <v>1419968</v>
      </c>
      <c r="S11" s="145">
        <f t="shared" ref="S11:S16" si="50">R11/C11</f>
        <v>0.64544000000000001</v>
      </c>
      <c r="T11" s="146">
        <f t="shared" ref="T11:T16" si="51">(C11-F11)*110%</f>
        <v>562097.94392523379</v>
      </c>
      <c r="U11" s="147">
        <f t="shared" ref="U11:U16" si="52">T11/$E$36</f>
        <v>562097.94392523379</v>
      </c>
      <c r="V11" s="147">
        <f t="shared" ref="V11:V16" si="53">(C11-F11)*120%</f>
        <v>613197.75700934581</v>
      </c>
      <c r="W11" s="147">
        <f t="shared" ref="W11:W16" si="54">SUM(V11/$E$36)</f>
        <v>613197.75700934581</v>
      </c>
      <c r="X11" s="148">
        <f t="shared" ref="X11:X16" si="55">E11/$E$21</f>
        <v>0.11981032290653823</v>
      </c>
      <c r="Y11" s="148" t="e">
        <f t="shared" ref="Y11:Y16" si="56">E11/$H$36</f>
        <v>#DIV/0!</v>
      </c>
      <c r="Z11" s="149">
        <f>_xlfn.XLOOKUP(A11,ยอดขายปีที่แล้ว!B:B,ยอดขายปีที่แล้ว!D:D,0,0)</f>
        <v>1688582.5</v>
      </c>
      <c r="AA11" s="150">
        <f t="shared" ref="AA11:AA16" si="57">Z11*100/107</f>
        <v>1578114.4859813084</v>
      </c>
      <c r="AB11" s="202">
        <f t="shared" ref="AB11:AB16" si="58">F11</f>
        <v>1689001.8691588785</v>
      </c>
      <c r="AC11" s="155">
        <f t="shared" ref="AC11" si="59">AB11-AA11</f>
        <v>110887.38317757007</v>
      </c>
      <c r="AD11" s="263">
        <f t="shared" ref="AD11" si="60">(AB11-AA11)/AA11</f>
        <v>7.0265740643409472E-2</v>
      </c>
      <c r="AE11" s="149">
        <f>_xlfn.XLOOKUP(A11,ยอดขายเดือนที่เแล้ว!B:B,ยอดขายเดือนที่เแล้ว!D:D,0,0)</f>
        <v>2122760</v>
      </c>
      <c r="AF11" s="146">
        <f t="shared" ref="AF11:AF16" si="61">AE11*100/107</f>
        <v>1983887.8504672898</v>
      </c>
      <c r="AG11" s="205">
        <f t="shared" ref="AG11:AG16" si="62">F11</f>
        <v>1689001.8691588785</v>
      </c>
      <c r="AH11" s="374">
        <f t="shared" si="28"/>
        <v>-294885.98130841134</v>
      </c>
      <c r="AI11" s="375">
        <f t="shared" si="29"/>
        <v>-0.14864044922647879</v>
      </c>
      <c r="AJ11" s="151">
        <v>470624</v>
      </c>
      <c r="AK11" s="150">
        <v>398494</v>
      </c>
      <c r="AL11" s="150">
        <v>455916</v>
      </c>
      <c r="AM11" s="372">
        <v>445861</v>
      </c>
      <c r="AN11" s="371">
        <v>528581</v>
      </c>
      <c r="AO11" s="357">
        <f t="shared" si="30"/>
        <v>82720</v>
      </c>
      <c r="AP11" s="335">
        <f t="shared" si="31"/>
        <v>0.18552867373463927</v>
      </c>
      <c r="AQ11" s="152" t="s">
        <v>394</v>
      </c>
      <c r="AR11" s="153"/>
      <c r="AS11" s="129" t="str">
        <f>A11</f>
        <v>Yuedpao สาขา Future Park Rangsit ชั้น 3</v>
      </c>
      <c r="AT11" s="130">
        <f>C11</f>
        <v>2200000</v>
      </c>
      <c r="AU11" s="130">
        <f>F11</f>
        <v>1689001.8691588785</v>
      </c>
      <c r="AV11" s="131">
        <f>AU11/$D$36</f>
        <v>60321.495327102799</v>
      </c>
      <c r="AW11" s="132">
        <f>(AV11*$E$36)+AU11</f>
        <v>1749323.3644859812</v>
      </c>
      <c r="AX11" s="324">
        <f t="shared" ref="AX11:AX19" si="63">AW11/AT11</f>
        <v>0.79514698385726412</v>
      </c>
      <c r="AY11" s="317">
        <f t="shared" si="25"/>
        <v>90482.242990654195</v>
      </c>
      <c r="AZ11" s="318">
        <f>(AY11*$E$36)+AU11</f>
        <v>1779484.1121495327</v>
      </c>
      <c r="BA11" s="228">
        <f t="shared" si="27"/>
        <v>0.80885641461342395</v>
      </c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3"/>
      <c r="BP11" s="153"/>
      <c r="BQ11" s="153"/>
      <c r="BR11" s="153"/>
      <c r="BS11" s="153"/>
      <c r="BT11" s="153"/>
      <c r="BU11" s="153"/>
    </row>
    <row r="12" spans="1:73" s="154" customFormat="1" ht="60" customHeight="1" x14ac:dyDescent="0.15">
      <c r="A12" s="137" t="s">
        <v>45</v>
      </c>
      <c r="B12" s="138">
        <f t="shared" ref="B12:B13" si="64">(C12*7)/100+C12</f>
        <v>1284000</v>
      </c>
      <c r="C12" s="139">
        <f>_xlfn.XLOOKUP(A12,'Target ปี 2026'!B:B,'Target ปี 2026'!C:C,0,0)</f>
        <v>1200000</v>
      </c>
      <c r="D12" s="139">
        <f t="shared" si="40"/>
        <v>40000</v>
      </c>
      <c r="E12" s="202">
        <f>_xlfn.XLOOKUP(A12,ยอดขายปัจจุบัน!B:B,ยอดขายปัจจุบัน!D:D,0,0)</f>
        <v>1159000.5</v>
      </c>
      <c r="F12" s="202">
        <f t="shared" si="41"/>
        <v>1083178.0373831776</v>
      </c>
      <c r="G12" s="202">
        <f>_xlfn.XLOOKUP(A12,ยอดขายปัจจุบัน!B:B,ยอดขายปัจจุบัน!C:C,0,0)</f>
        <v>2259</v>
      </c>
      <c r="H12" s="203">
        <f t="shared" ref="H12" si="65">E12/G12</f>
        <v>513.05909694555112</v>
      </c>
      <c r="I12" s="140">
        <v>401</v>
      </c>
      <c r="J12" s="141">
        <f t="shared" ref="J12" si="66">(H12-I12)/H12</f>
        <v>0.21841362449800494</v>
      </c>
      <c r="K12" s="142">
        <f t="shared" si="44"/>
        <v>-40999.5</v>
      </c>
      <c r="L12" s="252">
        <f t="shared" si="5"/>
        <v>0.90264836448598129</v>
      </c>
      <c r="M12" s="204"/>
      <c r="N12" s="144">
        <f t="shared" si="45"/>
        <v>116821.96261682245</v>
      </c>
      <c r="O12" s="143">
        <f t="shared" si="46"/>
        <v>116821.96261682245</v>
      </c>
      <c r="P12" s="144">
        <f t="shared" si="47"/>
        <v>116821.96261682245</v>
      </c>
      <c r="Q12" s="144">
        <f t="shared" si="48"/>
        <v>41392.875</v>
      </c>
      <c r="R12" s="144">
        <f t="shared" si="49"/>
        <v>910643.25</v>
      </c>
      <c r="S12" s="145">
        <f t="shared" si="50"/>
        <v>0.75886937499999996</v>
      </c>
      <c r="T12" s="146">
        <f t="shared" si="51"/>
        <v>128504.15887850471</v>
      </c>
      <c r="U12" s="147">
        <f t="shared" si="52"/>
        <v>128504.15887850471</v>
      </c>
      <c r="V12" s="147">
        <f t="shared" si="53"/>
        <v>140186.35514018693</v>
      </c>
      <c r="W12" s="147">
        <f t="shared" si="54"/>
        <v>140186.35514018693</v>
      </c>
      <c r="X12" s="148">
        <f t="shared" si="55"/>
        <v>7.6835859565257403E-2</v>
      </c>
      <c r="Y12" s="148" t="e">
        <f t="shared" si="56"/>
        <v>#DIV/0!</v>
      </c>
      <c r="Z12" s="149">
        <f>_xlfn.XLOOKUP(A12,ยอดขายปีที่แล้ว!B:B,ยอดขายปีที่แล้ว!D:D,0,0)</f>
        <v>914076</v>
      </c>
      <c r="AA12" s="150">
        <f t="shared" si="57"/>
        <v>854276.63551401871</v>
      </c>
      <c r="AB12" s="202">
        <f t="shared" si="58"/>
        <v>1083178.0373831776</v>
      </c>
      <c r="AC12" s="155">
        <f t="shared" ref="AC12" si="67">AB12-AA12</f>
        <v>228901.40186915884</v>
      </c>
      <c r="AD12" s="263">
        <f t="shared" ref="AD12" si="68">(AB12-AA12)/AA12</f>
        <v>0.26794763236317326</v>
      </c>
      <c r="AE12" s="149">
        <f>_xlfn.XLOOKUP(A12,ยอดขายเดือนที่เแล้ว!B:B,ยอดขายเดือนที่เแล้ว!D:D,0,0)</f>
        <v>1272433.8</v>
      </c>
      <c r="AF12" s="146">
        <f t="shared" si="61"/>
        <v>1189190.4672897197</v>
      </c>
      <c r="AG12" s="205">
        <f t="shared" si="62"/>
        <v>1083178.0373831776</v>
      </c>
      <c r="AH12" s="374">
        <f t="shared" si="28"/>
        <v>-106012.42990654218</v>
      </c>
      <c r="AI12" s="375">
        <f t="shared" si="29"/>
        <v>-8.9146720245878511E-2</v>
      </c>
      <c r="AJ12" s="151">
        <v>276515</v>
      </c>
      <c r="AK12" s="150">
        <v>225547.5</v>
      </c>
      <c r="AL12" s="150">
        <v>307428</v>
      </c>
      <c r="AM12" s="372">
        <v>309561</v>
      </c>
      <c r="AN12" s="371">
        <v>312550</v>
      </c>
      <c r="AO12" s="357">
        <f t="shared" si="30"/>
        <v>2989</v>
      </c>
      <c r="AP12" s="335">
        <f t="shared" si="31"/>
        <v>9.6556090722022484E-3</v>
      </c>
      <c r="AQ12" s="152" t="s">
        <v>400</v>
      </c>
      <c r="AR12" s="153"/>
      <c r="AS12" s="129" t="str">
        <f t="shared" ref="AS12:AS19" si="69">A12</f>
        <v>Yuedpao สาขา Central Festival เชียงใหม่</v>
      </c>
      <c r="AT12" s="130">
        <f t="shared" ref="AT12:AT19" si="70">C12</f>
        <v>1200000</v>
      </c>
      <c r="AU12" s="130">
        <f t="shared" ref="AU12:AU19" si="71">F12</f>
        <v>1083178.0373831776</v>
      </c>
      <c r="AV12" s="131">
        <f t="shared" ref="AV12:AV19" si="72">AU12/$D$36</f>
        <v>38684.929906542056</v>
      </c>
      <c r="AW12" s="132">
        <f t="shared" ref="AW12:AW19" si="73">(AV12*$E$36)+AU12</f>
        <v>1121862.9672897195</v>
      </c>
      <c r="AX12" s="324">
        <f t="shared" si="63"/>
        <v>0.93488580607476623</v>
      </c>
      <c r="AY12" s="317">
        <f t="shared" si="25"/>
        <v>58027.394859813081</v>
      </c>
      <c r="AZ12" s="318">
        <f t="shared" ref="AZ12:AZ19" si="74">(AY12*$E$36)+AU12</f>
        <v>1141205.4322429907</v>
      </c>
      <c r="BA12" s="228">
        <f t="shared" si="27"/>
        <v>0.95100452686915893</v>
      </c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</row>
    <row r="13" spans="1:73" s="154" customFormat="1" ht="60" customHeight="1" x14ac:dyDescent="0.15">
      <c r="A13" s="137" t="s">
        <v>80</v>
      </c>
      <c r="B13" s="138">
        <f t="shared" si="64"/>
        <v>642000</v>
      </c>
      <c r="C13" s="139">
        <f>_xlfn.XLOOKUP(A13,'Target ปี 2026'!B:B,'Target ปี 2026'!C:C,0,0)</f>
        <v>600000</v>
      </c>
      <c r="D13" s="139">
        <f t="shared" si="40"/>
        <v>20000</v>
      </c>
      <c r="E13" s="202">
        <f>_xlfn.XLOOKUP(A13,ยอดขายปัจจุบัน!B:B,ยอดขายปัจจุบัน!D:D,0,0)</f>
        <v>691868</v>
      </c>
      <c r="F13" s="202">
        <f t="shared" si="41"/>
        <v>646605.60747663549</v>
      </c>
      <c r="G13" s="202">
        <f>_xlfn.XLOOKUP(A13,ยอดขายปัจจุบัน!B:B,ยอดขายปัจจุบัน!C:C,0,0)</f>
        <v>1252</v>
      </c>
      <c r="H13" s="203">
        <f t="shared" ref="H13" si="75">E13/G13</f>
        <v>552.61022364217251</v>
      </c>
      <c r="I13" s="140">
        <v>401</v>
      </c>
      <c r="J13" s="141">
        <f t="shared" ref="J13" si="76">(H13-I13)/H13</f>
        <v>0.27435291124896655</v>
      </c>
      <c r="K13" s="142">
        <f t="shared" si="44"/>
        <v>91868</v>
      </c>
      <c r="L13" s="369">
        <f t="shared" si="5"/>
        <v>1.0776760124610592</v>
      </c>
      <c r="M13" s="204"/>
      <c r="N13" s="144">
        <f t="shared" si="45"/>
        <v>-46605.607476635487</v>
      </c>
      <c r="O13" s="143">
        <f t="shared" si="46"/>
        <v>-46605.607476635487</v>
      </c>
      <c r="P13" s="144">
        <f t="shared" si="47"/>
        <v>-46605.607476635487</v>
      </c>
      <c r="Q13" s="144">
        <f t="shared" si="48"/>
        <v>24709.571428571428</v>
      </c>
      <c r="R13" s="144">
        <f t="shared" si="49"/>
        <v>543610.57142857136</v>
      </c>
      <c r="S13" s="145">
        <f t="shared" si="50"/>
        <v>0.90601761904761891</v>
      </c>
      <c r="T13" s="146">
        <f t="shared" si="51"/>
        <v>-51266.168224299043</v>
      </c>
      <c r="U13" s="147">
        <f t="shared" si="52"/>
        <v>-51266.168224299043</v>
      </c>
      <c r="V13" s="147">
        <f t="shared" si="53"/>
        <v>-55926.728971962584</v>
      </c>
      <c r="W13" s="147">
        <f t="shared" si="54"/>
        <v>-55926.728971962584</v>
      </c>
      <c r="X13" s="148">
        <f t="shared" si="55"/>
        <v>4.5867342150150502E-2</v>
      </c>
      <c r="Y13" s="148" t="e">
        <f t="shared" si="56"/>
        <v>#DIV/0!</v>
      </c>
      <c r="Z13" s="149">
        <f>_xlfn.XLOOKUP(A13,ยอดขายปีที่แล้ว!B:B,ยอดขายปีที่แล้ว!D:D,0,0)</f>
        <v>483471</v>
      </c>
      <c r="AA13" s="150">
        <f t="shared" si="57"/>
        <v>451842.05607476638</v>
      </c>
      <c r="AB13" s="202">
        <f t="shared" si="58"/>
        <v>646605.60747663549</v>
      </c>
      <c r="AC13" s="155">
        <f t="shared" ref="AC13" si="77">AB13-AA13</f>
        <v>194763.5514018691</v>
      </c>
      <c r="AD13" s="263">
        <f t="shared" ref="AD13" si="78">(AB13-AA13)/AA13</f>
        <v>0.43104343383574178</v>
      </c>
      <c r="AE13" s="149">
        <f>_xlfn.XLOOKUP(A13,ยอดขายเดือนที่เแล้ว!B:B,ยอดขายเดือนที่เแล้ว!D:D,0,0)</f>
        <v>836250</v>
      </c>
      <c r="AF13" s="146">
        <f t="shared" si="61"/>
        <v>781542.05607476633</v>
      </c>
      <c r="AG13" s="205">
        <f t="shared" si="62"/>
        <v>646605.60747663549</v>
      </c>
      <c r="AH13" s="374">
        <f t="shared" si="28"/>
        <v>-134936.44859813084</v>
      </c>
      <c r="AI13" s="375">
        <f t="shared" si="29"/>
        <v>-0.17265411061285502</v>
      </c>
      <c r="AJ13" s="151">
        <v>180426</v>
      </c>
      <c r="AK13" s="150">
        <v>154830</v>
      </c>
      <c r="AL13" s="150">
        <v>175702</v>
      </c>
      <c r="AM13" s="372">
        <v>154950</v>
      </c>
      <c r="AN13" s="371">
        <v>216852</v>
      </c>
      <c r="AO13" s="357">
        <f t="shared" si="30"/>
        <v>61902</v>
      </c>
      <c r="AP13" s="335">
        <f t="shared" si="31"/>
        <v>0.39949661181026136</v>
      </c>
      <c r="AQ13" s="152" t="s">
        <v>399</v>
      </c>
      <c r="AR13" s="153"/>
      <c r="AS13" s="129" t="str">
        <f t="shared" si="69"/>
        <v>Yuedpao สาขา Central พัทยา</v>
      </c>
      <c r="AT13" s="130">
        <f t="shared" si="70"/>
        <v>600000</v>
      </c>
      <c r="AU13" s="130">
        <f t="shared" si="71"/>
        <v>646605.60747663549</v>
      </c>
      <c r="AV13" s="131">
        <f t="shared" si="72"/>
        <v>23093.057409879839</v>
      </c>
      <c r="AW13" s="132">
        <f t="shared" si="73"/>
        <v>669698.66488651535</v>
      </c>
      <c r="AX13" s="349">
        <f t="shared" si="63"/>
        <v>1.1161644414775256</v>
      </c>
      <c r="AY13" s="317">
        <f t="shared" si="25"/>
        <v>34639.586114819758</v>
      </c>
      <c r="AZ13" s="318">
        <f t="shared" si="74"/>
        <v>681245.19359145523</v>
      </c>
      <c r="BA13" s="228">
        <f t="shared" si="27"/>
        <v>1.1354086559857588</v>
      </c>
      <c r="BB13" s="153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3"/>
      <c r="BR13" s="153"/>
      <c r="BS13" s="153"/>
      <c r="BT13" s="153"/>
      <c r="BU13" s="153"/>
    </row>
    <row r="14" spans="1:73" s="154" customFormat="1" ht="60" customHeight="1" x14ac:dyDescent="0.15">
      <c r="A14" s="137" t="s">
        <v>111</v>
      </c>
      <c r="B14" s="138">
        <f>(C14*7)/100+C14</f>
        <v>1926000</v>
      </c>
      <c r="C14" s="139">
        <f>_xlfn.XLOOKUP(A14,'Target ปี 2026'!B:B,'Target ปี 2026'!C:C,0,0)</f>
        <v>1800000</v>
      </c>
      <c r="D14" s="139">
        <f t="shared" si="40"/>
        <v>60000</v>
      </c>
      <c r="E14" s="202">
        <f>_xlfn.XLOOKUP(A14,ยอดขายปัจจุบัน!B:B,ยอดขายปัจจุบัน!D:D,0,0)</f>
        <v>1737483.5</v>
      </c>
      <c r="F14" s="202">
        <f t="shared" si="41"/>
        <v>1623816.3551401868</v>
      </c>
      <c r="G14" s="202">
        <f>_xlfn.XLOOKUP(A14,ยอดขายปัจจุบัน!B:B,ยอดขายปัจจุบัน!C:C,0,0)</f>
        <v>3737</v>
      </c>
      <c r="H14" s="203">
        <f t="shared" si="42"/>
        <v>464.94072785656942</v>
      </c>
      <c r="I14" s="140">
        <v>450</v>
      </c>
      <c r="J14" s="141">
        <f t="shared" si="43"/>
        <v>3.2134693653205884E-2</v>
      </c>
      <c r="K14" s="142">
        <f t="shared" si="44"/>
        <v>-62516.5</v>
      </c>
      <c r="L14" s="252">
        <f t="shared" si="5"/>
        <v>0.90212019730010384</v>
      </c>
      <c r="M14" s="245"/>
      <c r="N14" s="144">
        <f t="shared" si="45"/>
        <v>176183.64485981315</v>
      </c>
      <c r="O14" s="143">
        <f t="shared" si="46"/>
        <v>176183.64485981315</v>
      </c>
      <c r="P14" s="144">
        <f t="shared" si="47"/>
        <v>176183.64485981315</v>
      </c>
      <c r="Q14" s="144">
        <f t="shared" si="48"/>
        <v>62052.982142857145</v>
      </c>
      <c r="R14" s="144">
        <f t="shared" si="49"/>
        <v>1365165.6071428573</v>
      </c>
      <c r="S14" s="145">
        <f t="shared" si="50"/>
        <v>0.75842533730158734</v>
      </c>
      <c r="T14" s="146">
        <f t="shared" si="51"/>
        <v>193802.00934579447</v>
      </c>
      <c r="U14" s="147">
        <f t="shared" si="52"/>
        <v>193802.00934579447</v>
      </c>
      <c r="V14" s="147">
        <f t="shared" si="53"/>
        <v>211420.37383177577</v>
      </c>
      <c r="W14" s="147">
        <f t="shared" si="54"/>
        <v>211420.37383177577</v>
      </c>
      <c r="X14" s="148">
        <f t="shared" si="55"/>
        <v>0.11518635082810741</v>
      </c>
      <c r="Y14" s="148" t="e">
        <f t="shared" si="56"/>
        <v>#DIV/0!</v>
      </c>
      <c r="Z14" s="149">
        <f>_xlfn.XLOOKUP(A14,ยอดขายปีที่แล้ว!B:B,ยอดขายปีที่แล้ว!D:D,0,0)</f>
        <v>867796</v>
      </c>
      <c r="AA14" s="150">
        <f t="shared" si="57"/>
        <v>811024.29906542052</v>
      </c>
      <c r="AB14" s="202">
        <f t="shared" si="58"/>
        <v>1623816.3551401868</v>
      </c>
      <c r="AC14" s="155">
        <f t="shared" ref="AC14:AC21" si="79">AB14-AA14</f>
        <v>812792.05607476633</v>
      </c>
      <c r="AD14" s="263">
        <f t="shared" ref="AD14:AD21" si="80">(AB14-AA14)/AA14</f>
        <v>1.0021796597356982</v>
      </c>
      <c r="AE14" s="149">
        <f>_xlfn.XLOOKUP(A14,ยอดขายเดือนที่เแล้ว!B:B,ยอดขายเดือนที่เแล้ว!D:D,0,0)</f>
        <v>1658515.5</v>
      </c>
      <c r="AF14" s="146">
        <f t="shared" si="61"/>
        <v>1550014.4859813084</v>
      </c>
      <c r="AG14" s="205">
        <f t="shared" si="62"/>
        <v>1623816.3551401868</v>
      </c>
      <c r="AH14" s="364">
        <f t="shared" si="28"/>
        <v>73801.869158878457</v>
      </c>
      <c r="AI14" s="370">
        <f t="shared" si="29"/>
        <v>4.7613664147244904E-2</v>
      </c>
      <c r="AJ14" s="151">
        <v>374127</v>
      </c>
      <c r="AK14" s="150">
        <v>385121.5</v>
      </c>
      <c r="AL14" s="150">
        <v>441054</v>
      </c>
      <c r="AM14" s="372">
        <v>421319</v>
      </c>
      <c r="AN14" s="371">
        <v>495445</v>
      </c>
      <c r="AO14" s="357">
        <f t="shared" si="30"/>
        <v>74126</v>
      </c>
      <c r="AP14" s="335">
        <f t="shared" si="31"/>
        <v>0.17593794725611711</v>
      </c>
      <c r="AQ14" s="152" t="s">
        <v>398</v>
      </c>
      <c r="AR14" s="153"/>
      <c r="AS14" s="129" t="str">
        <f t="shared" si="69"/>
        <v>Yuedpao สาขา Central ปิ่นเกล้า</v>
      </c>
      <c r="AT14" s="130">
        <f t="shared" si="70"/>
        <v>1800000</v>
      </c>
      <c r="AU14" s="130">
        <f t="shared" si="71"/>
        <v>1623816.3551401868</v>
      </c>
      <c r="AV14" s="131">
        <f t="shared" si="72"/>
        <v>57993.44125500667</v>
      </c>
      <c r="AW14" s="132">
        <f t="shared" si="73"/>
        <v>1681809.7963951936</v>
      </c>
      <c r="AX14" s="324">
        <f t="shared" si="63"/>
        <v>0.93433877577510749</v>
      </c>
      <c r="AY14" s="317">
        <f t="shared" si="25"/>
        <v>86990.161882510001</v>
      </c>
      <c r="AZ14" s="318">
        <f t="shared" si="74"/>
        <v>1710806.5170226968</v>
      </c>
      <c r="BA14" s="228">
        <f t="shared" si="27"/>
        <v>0.95044806501260937</v>
      </c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</row>
    <row r="15" spans="1:73" s="154" customFormat="1" ht="60" customHeight="1" x14ac:dyDescent="0.15">
      <c r="A15" s="137" t="s">
        <v>292</v>
      </c>
      <c r="B15" s="138">
        <f>(C15*7)/100+C15</f>
        <v>374500</v>
      </c>
      <c r="C15" s="139">
        <f>_xlfn.XLOOKUP(A15,'Target ปี 2026'!B:B,'Target ปี 2026'!C:C,0,0)</f>
        <v>350000</v>
      </c>
      <c r="D15" s="139">
        <f t="shared" si="40"/>
        <v>11666.666666666666</v>
      </c>
      <c r="E15" s="202">
        <f>_xlfn.XLOOKUP(A15,ยอดขายปัจจุบัน!B:B,ยอดขายปัจจุบัน!D:D,0,0)</f>
        <v>396760.54</v>
      </c>
      <c r="F15" s="202">
        <f t="shared" si="41"/>
        <v>370804.24299065419</v>
      </c>
      <c r="G15" s="202">
        <f>_xlfn.XLOOKUP(A15,ยอดขายปัจจุบัน!B:B,ยอดขายปัจจุบัน!C:C,0,0)</f>
        <v>870</v>
      </c>
      <c r="H15" s="203">
        <f t="shared" si="42"/>
        <v>456.04659770114938</v>
      </c>
      <c r="I15" s="140">
        <v>430</v>
      </c>
      <c r="J15" s="141">
        <f t="shared" si="43"/>
        <v>5.7113895449381037E-2</v>
      </c>
      <c r="K15" s="142">
        <f t="shared" si="44"/>
        <v>46760.539999999979</v>
      </c>
      <c r="L15" s="369">
        <f t="shared" si="5"/>
        <v>1.059440694259012</v>
      </c>
      <c r="M15" s="215"/>
      <c r="N15" s="144">
        <f t="shared" si="45"/>
        <v>-20804.242990654195</v>
      </c>
      <c r="O15" s="143">
        <f t="shared" si="46"/>
        <v>-20804.242990654195</v>
      </c>
      <c r="P15" s="144">
        <f t="shared" si="47"/>
        <v>-20804.242990654195</v>
      </c>
      <c r="Q15" s="144">
        <f t="shared" si="48"/>
        <v>14170.019285714285</v>
      </c>
      <c r="R15" s="144">
        <f t="shared" si="49"/>
        <v>311740.42428571428</v>
      </c>
      <c r="S15" s="145">
        <f t="shared" si="50"/>
        <v>0.89068692653061221</v>
      </c>
      <c r="T15" s="146">
        <f t="shared" si="51"/>
        <v>-22884.667289719615</v>
      </c>
      <c r="U15" s="147">
        <f t="shared" si="52"/>
        <v>-22884.667289719615</v>
      </c>
      <c r="V15" s="147">
        <f t="shared" si="53"/>
        <v>-24965.091588785031</v>
      </c>
      <c r="W15" s="147">
        <f t="shared" si="54"/>
        <v>-24965.091588785031</v>
      </c>
      <c r="X15" s="148">
        <f t="shared" si="55"/>
        <v>2.6303213098247749E-2</v>
      </c>
      <c r="Y15" s="148" t="e">
        <f t="shared" si="56"/>
        <v>#DIV/0!</v>
      </c>
      <c r="Z15" s="149">
        <f>_xlfn.XLOOKUP(A15,ยอดขายปีที่แล้ว!B:B,ยอดขายปีที่แล้ว!D:D,0,0)</f>
        <v>0</v>
      </c>
      <c r="AA15" s="150">
        <f t="shared" si="57"/>
        <v>0</v>
      </c>
      <c r="AB15" s="202">
        <f t="shared" si="58"/>
        <v>370804.24299065419</v>
      </c>
      <c r="AC15" s="155">
        <f t="shared" si="79"/>
        <v>370804.24299065419</v>
      </c>
      <c r="AD15" s="263" t="e">
        <f t="shared" si="80"/>
        <v>#DIV/0!</v>
      </c>
      <c r="AE15" s="149">
        <f>_xlfn.XLOOKUP(A15,ยอดขายเดือนที่เแล้ว!B:B,ยอดขายเดือนที่เแล้ว!D:D,0,0)</f>
        <v>335396</v>
      </c>
      <c r="AF15" s="146">
        <f t="shared" si="61"/>
        <v>313454.20560747664</v>
      </c>
      <c r="AG15" s="205">
        <f t="shared" si="62"/>
        <v>370804.24299065419</v>
      </c>
      <c r="AH15" s="364">
        <f t="shared" si="28"/>
        <v>57350.037383177551</v>
      </c>
      <c r="AI15" s="370">
        <f t="shared" si="29"/>
        <v>0.18296145451943369</v>
      </c>
      <c r="AJ15" s="151">
        <v>77675</v>
      </c>
      <c r="AK15" s="150">
        <v>78116</v>
      </c>
      <c r="AL15" s="150">
        <v>112553.54</v>
      </c>
      <c r="AM15" s="372">
        <v>124986</v>
      </c>
      <c r="AN15" s="371">
        <v>84540</v>
      </c>
      <c r="AO15" s="358">
        <f t="shared" si="30"/>
        <v>-40446</v>
      </c>
      <c r="AP15" s="333">
        <f t="shared" si="31"/>
        <v>-0.32360424367529161</v>
      </c>
      <c r="AQ15" s="334" t="s">
        <v>396</v>
      </c>
      <c r="AR15" s="153"/>
      <c r="AS15" s="129" t="str">
        <f t="shared" si="69"/>
        <v>Yuedpao สาขา I am China Town</v>
      </c>
      <c r="AT15" s="130">
        <f t="shared" si="70"/>
        <v>350000</v>
      </c>
      <c r="AU15" s="130">
        <f t="shared" si="71"/>
        <v>370804.24299065419</v>
      </c>
      <c r="AV15" s="131">
        <f t="shared" si="72"/>
        <v>13243.008678237649</v>
      </c>
      <c r="AW15" s="132">
        <f t="shared" si="73"/>
        <v>384047.25166889187</v>
      </c>
      <c r="AX15" s="367">
        <f t="shared" si="63"/>
        <v>1.0972778619111196</v>
      </c>
      <c r="AY15" s="317">
        <f t="shared" si="25"/>
        <v>19864.513017356476</v>
      </c>
      <c r="AZ15" s="318">
        <f t="shared" si="74"/>
        <v>390668.75600801065</v>
      </c>
      <c r="BA15" s="228">
        <f t="shared" si="27"/>
        <v>1.1161964457371734</v>
      </c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</row>
    <row r="16" spans="1:73" s="154" customFormat="1" ht="60" customHeight="1" x14ac:dyDescent="0.15">
      <c r="A16" s="137" t="s">
        <v>306</v>
      </c>
      <c r="B16" s="138">
        <f t="shared" ref="B16:B19" si="81">(C16*7)/100+C16</f>
        <v>856000</v>
      </c>
      <c r="C16" s="139">
        <f>_xlfn.XLOOKUP(A16,'Target ปี 2026'!B:B,'Target ปี 2026'!C:C,0,0)</f>
        <v>800000</v>
      </c>
      <c r="D16" s="139">
        <f t="shared" si="40"/>
        <v>26666.666666666668</v>
      </c>
      <c r="E16" s="202">
        <f>_xlfn.XLOOKUP(A16,ยอดขายปัจจุบัน!B:B,ยอดขายปัจจุบัน!D:D,0,0)</f>
        <v>920696.51</v>
      </c>
      <c r="F16" s="202">
        <f t="shared" si="41"/>
        <v>860464.02803738322</v>
      </c>
      <c r="G16" s="202">
        <f>_xlfn.XLOOKUP(A16,ยอดขายปัจจุบัน!B:B,ยอดขายปัจจุบัน!C:C,0,0)</f>
        <v>2013</v>
      </c>
      <c r="H16" s="203">
        <f t="shared" si="42"/>
        <v>457.37531544957773</v>
      </c>
      <c r="I16" s="140">
        <v>430</v>
      </c>
      <c r="J16" s="141">
        <f>(H16-I16)/H16</f>
        <v>5.9853067108943385E-2</v>
      </c>
      <c r="K16" s="142">
        <f t="shared" si="44"/>
        <v>120696.51000000001</v>
      </c>
      <c r="L16" s="369">
        <f t="shared" si="5"/>
        <v>1.0755800350467291</v>
      </c>
      <c r="M16" s="215"/>
      <c r="N16" s="144">
        <f t="shared" si="45"/>
        <v>-60464.028037383221</v>
      </c>
      <c r="O16" s="143">
        <f t="shared" si="46"/>
        <v>-60464.028037383221</v>
      </c>
      <c r="P16" s="144">
        <f t="shared" si="47"/>
        <v>-60464.028037383221</v>
      </c>
      <c r="Q16" s="144">
        <f t="shared" si="48"/>
        <v>32882.018214285716</v>
      </c>
      <c r="R16" s="144">
        <f t="shared" si="49"/>
        <v>723404.40071428579</v>
      </c>
      <c r="S16" s="145">
        <f t="shared" si="50"/>
        <v>0.90425550089285722</v>
      </c>
      <c r="T16" s="146">
        <f t="shared" si="51"/>
        <v>-66510.430841121546</v>
      </c>
      <c r="U16" s="147">
        <f t="shared" si="52"/>
        <v>-66510.430841121546</v>
      </c>
      <c r="V16" s="147">
        <f t="shared" si="53"/>
        <v>-72556.833644859857</v>
      </c>
      <c r="W16" s="147">
        <f t="shared" si="54"/>
        <v>-72556.833644859857</v>
      </c>
      <c r="X16" s="148">
        <f t="shared" si="55"/>
        <v>6.1037512705630938E-2</v>
      </c>
      <c r="Y16" s="148" t="e">
        <f t="shared" si="56"/>
        <v>#DIV/0!</v>
      </c>
      <c r="Z16" s="149">
        <f>_xlfn.XLOOKUP(A16,ยอดขายปีที่แล้ว!B:B,ยอดขายปีที่แล้ว!D:D,0,0)</f>
        <v>0</v>
      </c>
      <c r="AA16" s="150">
        <f t="shared" si="57"/>
        <v>0</v>
      </c>
      <c r="AB16" s="202">
        <f t="shared" si="58"/>
        <v>860464.02803738322</v>
      </c>
      <c r="AC16" s="155">
        <f t="shared" si="79"/>
        <v>860464.02803738322</v>
      </c>
      <c r="AD16" s="263" t="e">
        <f t="shared" si="80"/>
        <v>#DIV/0!</v>
      </c>
      <c r="AE16" s="149">
        <f>_xlfn.XLOOKUP(A16,ยอดขายเดือนที่เแล้ว!B:B,ยอดขายเดือนที่เแล้ว!D:D,0,0)</f>
        <v>907039</v>
      </c>
      <c r="AF16" s="146">
        <f t="shared" si="61"/>
        <v>847700</v>
      </c>
      <c r="AG16" s="205">
        <f t="shared" si="62"/>
        <v>860464.02803738322</v>
      </c>
      <c r="AH16" s="364">
        <f t="shared" si="28"/>
        <v>12764.028037383221</v>
      </c>
      <c r="AI16" s="370">
        <f t="shared" si="29"/>
        <v>1.5057246711552697E-2</v>
      </c>
      <c r="AJ16" s="151">
        <v>184083</v>
      </c>
      <c r="AK16" s="150">
        <v>224899</v>
      </c>
      <c r="AL16" s="150">
        <v>255300</v>
      </c>
      <c r="AM16" s="372">
        <v>221141.51</v>
      </c>
      <c r="AN16" s="371">
        <v>230972</v>
      </c>
      <c r="AO16" s="357">
        <f t="shared" si="30"/>
        <v>9830.4899999999907</v>
      </c>
      <c r="AP16" s="335">
        <f t="shared" si="31"/>
        <v>4.4453390953150269E-2</v>
      </c>
      <c r="AQ16" s="334" t="s">
        <v>393</v>
      </c>
      <c r="AR16" s="153"/>
      <c r="AS16" s="129" t="str">
        <f t="shared" si="69"/>
        <v>Yuedpao สาขา Robinson ชลบุรี</v>
      </c>
      <c r="AT16" s="130">
        <f t="shared" si="70"/>
        <v>800000</v>
      </c>
      <c r="AU16" s="130">
        <f t="shared" si="71"/>
        <v>860464.02803738322</v>
      </c>
      <c r="AV16" s="131">
        <f t="shared" si="72"/>
        <v>30730.858144192258</v>
      </c>
      <c r="AW16" s="132">
        <f t="shared" si="73"/>
        <v>891194.88618157548</v>
      </c>
      <c r="AX16" s="367">
        <f t="shared" si="63"/>
        <v>1.1139936077269694</v>
      </c>
      <c r="AY16" s="317">
        <f t="shared" si="25"/>
        <v>46096.287216288387</v>
      </c>
      <c r="AZ16" s="318">
        <f t="shared" si="74"/>
        <v>906560.31525367161</v>
      </c>
      <c r="BA16" s="228">
        <f t="shared" si="27"/>
        <v>1.1332003940670896</v>
      </c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</row>
    <row r="17" spans="1:73" s="154" customFormat="1" ht="60" customHeight="1" x14ac:dyDescent="0.15">
      <c r="A17" s="328" t="s">
        <v>361</v>
      </c>
      <c r="B17" s="138">
        <f t="shared" si="81"/>
        <v>588500</v>
      </c>
      <c r="C17" s="139">
        <f>_xlfn.XLOOKUP(A17,'Target ปี 2026'!B:B,'Target ปี 2026'!C:C,0,0)</f>
        <v>550000</v>
      </c>
      <c r="D17" s="139">
        <f t="shared" ref="D17:D19" si="82">C17/30</f>
        <v>18333.333333333332</v>
      </c>
      <c r="E17" s="202">
        <f>_xlfn.XLOOKUP(A17,ยอดขายปัจจุบัน!B:B,ยอดขายปัจจุบัน!D:D,0,0)</f>
        <v>384029.5</v>
      </c>
      <c r="F17" s="202">
        <f t="shared" ref="F17:F19" si="83">E17*100/107</f>
        <v>358906.07476635516</v>
      </c>
      <c r="G17" s="202">
        <f>_xlfn.XLOOKUP(A17,ยอดขายปัจจุบัน!B:B,ยอดขายปัจจุบัน!C:C,0,0)</f>
        <v>742</v>
      </c>
      <c r="H17" s="203">
        <f t="shared" ref="H17:H19" si="84">E17/G17</f>
        <v>517.55997304582206</v>
      </c>
      <c r="I17" s="140">
        <v>431</v>
      </c>
      <c r="J17" s="141">
        <f t="shared" ref="J17:J19" si="85">(H17-I17)/H17</f>
        <v>0.1672462662373593</v>
      </c>
      <c r="K17" s="142">
        <f t="shared" ref="K17:K19" si="86">(E17-C17)/$E$36</f>
        <v>-165970.5</v>
      </c>
      <c r="L17" s="252">
        <f t="shared" si="5"/>
        <v>0.65255649957519124</v>
      </c>
      <c r="M17" s="215"/>
      <c r="N17" s="144">
        <f t="shared" ref="N17:N19" si="87">C17-F17</f>
        <v>191093.92523364484</v>
      </c>
      <c r="O17" s="143">
        <f t="shared" ref="O17:O19" si="88">N17/$E$36</f>
        <v>191093.92523364484</v>
      </c>
      <c r="P17" s="144">
        <f t="shared" ref="P17:P19" si="89">SUM(N17/$E$36)</f>
        <v>191093.92523364484</v>
      </c>
      <c r="Q17" s="144">
        <f t="shared" ref="Q17:Q19" si="90">E17/$D$36</f>
        <v>13715.339285714286</v>
      </c>
      <c r="R17" s="144">
        <f t="shared" ref="R17:R19" si="91">Q17*22</f>
        <v>301737.46428571432</v>
      </c>
      <c r="S17" s="145">
        <f t="shared" ref="S17:S19" si="92">R17/C17</f>
        <v>0.54861357142857148</v>
      </c>
      <c r="T17" s="146">
        <f t="shared" ref="T17:T19" si="93">(C17-F17)*110%</f>
        <v>210203.31775700935</v>
      </c>
      <c r="U17" s="147">
        <f t="shared" ref="U17:U19" si="94">T17/$E$36</f>
        <v>210203.31775700935</v>
      </c>
      <c r="V17" s="147">
        <f t="shared" ref="V17:V19" si="95">(C17-F17)*120%</f>
        <v>229312.71028037381</v>
      </c>
      <c r="W17" s="147">
        <f t="shared" ref="W17:W19" si="96">SUM(V17/$E$36)</f>
        <v>229312.71028037381</v>
      </c>
      <c r="X17" s="148">
        <f t="shared" ref="X17:X19" si="97">E17/$E$21</f>
        <v>2.5459209664634327E-2</v>
      </c>
      <c r="Y17" s="148" t="e">
        <f t="shared" ref="Y17:Y19" si="98">E17/$H$36</f>
        <v>#DIV/0!</v>
      </c>
      <c r="Z17" s="149">
        <f>_xlfn.XLOOKUP(A17,ยอดขายปีที่แล้ว!B:B,ยอดขายปีที่แล้ว!D:D,0,0)</f>
        <v>0</v>
      </c>
      <c r="AA17" s="150">
        <f t="shared" ref="AA17:AA19" si="99">Z17*100/107</f>
        <v>0</v>
      </c>
      <c r="AB17" s="202">
        <f t="shared" ref="AB17:AB19" si="100">F17</f>
        <v>358906.07476635516</v>
      </c>
      <c r="AC17" s="155">
        <f t="shared" ref="AC17:AC19" si="101">AB17-AA17</f>
        <v>358906.07476635516</v>
      </c>
      <c r="AD17" s="263" t="e">
        <f t="shared" ref="AD17:AD19" si="102">(AB17-AA17)/AA17</f>
        <v>#DIV/0!</v>
      </c>
      <c r="AE17" s="149">
        <f>_xlfn.XLOOKUP(A17,ยอดขายเดือนที่เแล้ว!B:B,ยอดขายเดือนที่เแล้ว!D:D,0,0)</f>
        <v>469734.5</v>
      </c>
      <c r="AF17" s="146">
        <f t="shared" ref="AF17:AF19" si="103">AE17*100/107</f>
        <v>439004.20560747664</v>
      </c>
      <c r="AG17" s="205">
        <f t="shared" ref="AG17:AG19" si="104">F17</f>
        <v>358906.07476635516</v>
      </c>
      <c r="AH17" s="374">
        <f t="shared" si="28"/>
        <v>-80098.130841121485</v>
      </c>
      <c r="AI17" s="370">
        <f t="shared" si="29"/>
        <v>-0.1824541310037904</v>
      </c>
      <c r="AJ17" s="151">
        <v>80623</v>
      </c>
      <c r="AK17" s="150">
        <v>106515</v>
      </c>
      <c r="AL17" s="150">
        <v>109432</v>
      </c>
      <c r="AM17" s="372">
        <v>89786.5</v>
      </c>
      <c r="AN17" s="371">
        <v>76512</v>
      </c>
      <c r="AO17" s="358">
        <f t="shared" si="30"/>
        <v>-13274.5</v>
      </c>
      <c r="AP17" s="333">
        <f t="shared" si="31"/>
        <v>-0.14784516603275549</v>
      </c>
      <c r="AQ17" s="334" t="s">
        <v>397</v>
      </c>
      <c r="AR17" s="153"/>
      <c r="AS17" s="129" t="str">
        <f t="shared" si="69"/>
        <v>Yuedpao สาขา Big C อำนาจเจริญ</v>
      </c>
      <c r="AT17" s="130">
        <f t="shared" si="70"/>
        <v>550000</v>
      </c>
      <c r="AU17" s="130">
        <f t="shared" si="71"/>
        <v>358906.07476635516</v>
      </c>
      <c r="AV17" s="131">
        <f t="shared" si="72"/>
        <v>12818.074098798399</v>
      </c>
      <c r="AW17" s="132">
        <f t="shared" si="73"/>
        <v>371724.14886515355</v>
      </c>
      <c r="AX17" s="324">
        <f t="shared" si="63"/>
        <v>0.67586208884573373</v>
      </c>
      <c r="AY17" s="317">
        <f t="shared" si="25"/>
        <v>19227.111148197597</v>
      </c>
      <c r="AZ17" s="318">
        <f t="shared" si="74"/>
        <v>378133.18591455277</v>
      </c>
      <c r="BA17" s="228">
        <f t="shared" si="27"/>
        <v>0.68751488348100509</v>
      </c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</row>
    <row r="18" spans="1:73" s="154" customFormat="1" ht="60" customHeight="1" x14ac:dyDescent="0.15">
      <c r="A18" s="328" t="s">
        <v>359</v>
      </c>
      <c r="B18" s="138">
        <f t="shared" si="81"/>
        <v>856000</v>
      </c>
      <c r="C18" s="139">
        <f>_xlfn.XLOOKUP(A18,'Target ปี 2026'!B:B,'Target ปี 2026'!C:C,0,0)</f>
        <v>800000</v>
      </c>
      <c r="D18" s="139">
        <f t="shared" si="82"/>
        <v>26666.666666666668</v>
      </c>
      <c r="E18" s="202">
        <f>_xlfn.XLOOKUP(A18,ยอดขายปัจจุบัน!B:B,ยอดขายปัจจุบัน!D:D,0,0)</f>
        <v>770581</v>
      </c>
      <c r="F18" s="202">
        <f t="shared" si="83"/>
        <v>720169.15887850465</v>
      </c>
      <c r="G18" s="202">
        <f>_xlfn.XLOOKUP(A18,ยอดขายปัจจุบัน!B:B,ยอดขายปัจจุบัน!C:C,0,0)</f>
        <v>1408</v>
      </c>
      <c r="H18" s="203">
        <f t="shared" si="84"/>
        <v>547.2876420454545</v>
      </c>
      <c r="I18" s="140">
        <v>432</v>
      </c>
      <c r="J18" s="141">
        <f t="shared" si="85"/>
        <v>0.21065274124329558</v>
      </c>
      <c r="K18" s="142">
        <f t="shared" si="86"/>
        <v>-29419</v>
      </c>
      <c r="L18" s="252">
        <f t="shared" si="5"/>
        <v>0.90021144859813085</v>
      </c>
      <c r="M18" s="215"/>
      <c r="N18" s="144">
        <f t="shared" si="87"/>
        <v>79830.841121495352</v>
      </c>
      <c r="O18" s="143">
        <f t="shared" si="88"/>
        <v>79830.841121495352</v>
      </c>
      <c r="P18" s="144">
        <f t="shared" si="89"/>
        <v>79830.841121495352</v>
      </c>
      <c r="Q18" s="144">
        <f t="shared" si="90"/>
        <v>27520.75</v>
      </c>
      <c r="R18" s="144">
        <f t="shared" si="91"/>
        <v>605456.5</v>
      </c>
      <c r="S18" s="145">
        <f t="shared" si="92"/>
        <v>0.75682062500000002</v>
      </c>
      <c r="T18" s="146">
        <f t="shared" si="93"/>
        <v>87813.925233644899</v>
      </c>
      <c r="U18" s="147">
        <f t="shared" si="94"/>
        <v>87813.925233644899</v>
      </c>
      <c r="V18" s="147">
        <f t="shared" si="95"/>
        <v>95797.009345794417</v>
      </c>
      <c r="W18" s="147">
        <f t="shared" si="96"/>
        <v>95797.009345794417</v>
      </c>
      <c r="X18" s="148">
        <f t="shared" si="97"/>
        <v>5.108561514827268E-2</v>
      </c>
      <c r="Y18" s="148" t="e">
        <f t="shared" si="98"/>
        <v>#DIV/0!</v>
      </c>
      <c r="Z18" s="149">
        <f>_xlfn.XLOOKUP(A18,ยอดขายปีที่แล้ว!B:B,ยอดขายปีที่แล้ว!D:D,0,0)</f>
        <v>0</v>
      </c>
      <c r="AA18" s="150">
        <f t="shared" si="99"/>
        <v>0</v>
      </c>
      <c r="AB18" s="202">
        <f t="shared" si="100"/>
        <v>720169.15887850465</v>
      </c>
      <c r="AC18" s="155">
        <f t="shared" si="101"/>
        <v>720169.15887850465</v>
      </c>
      <c r="AD18" s="263" t="e">
        <f t="shared" si="102"/>
        <v>#DIV/0!</v>
      </c>
      <c r="AE18" s="149">
        <f>_xlfn.XLOOKUP(A18,ยอดขายเดือนที่เแล้ว!B:B,ยอดขายเดือนที่เแล้ว!D:D,0,0)</f>
        <v>734037.5</v>
      </c>
      <c r="AF18" s="146">
        <f t="shared" si="103"/>
        <v>686016.35514018696</v>
      </c>
      <c r="AG18" s="205">
        <f t="shared" si="104"/>
        <v>720169.15887850465</v>
      </c>
      <c r="AH18" s="364">
        <f t="shared" si="28"/>
        <v>34152.803738317685</v>
      </c>
      <c r="AI18" s="370">
        <f t="shared" si="29"/>
        <v>4.9784241268327464E-2</v>
      </c>
      <c r="AJ18" s="151">
        <v>139699.5</v>
      </c>
      <c r="AK18" s="150">
        <v>177658</v>
      </c>
      <c r="AL18" s="150">
        <v>220097</v>
      </c>
      <c r="AM18" s="372">
        <v>186551.5</v>
      </c>
      <c r="AN18" s="371">
        <v>199509.5</v>
      </c>
      <c r="AO18" s="357">
        <f t="shared" si="30"/>
        <v>12958</v>
      </c>
      <c r="AP18" s="335">
        <f t="shared" si="31"/>
        <v>6.9460711921372917E-2</v>
      </c>
      <c r="AQ18" s="334" t="s">
        <v>360</v>
      </c>
      <c r="AR18" s="153"/>
      <c r="AS18" s="129" t="str">
        <f t="shared" si="69"/>
        <v>Yuedpao สาขา Robinson แม่สอด</v>
      </c>
      <c r="AT18" s="130">
        <f t="shared" si="70"/>
        <v>800000</v>
      </c>
      <c r="AU18" s="130">
        <f t="shared" si="71"/>
        <v>720169.15887850465</v>
      </c>
      <c r="AV18" s="131">
        <f t="shared" si="72"/>
        <v>25720.327102803738</v>
      </c>
      <c r="AW18" s="132">
        <f t="shared" si="73"/>
        <v>745889.48598130839</v>
      </c>
      <c r="AX18" s="324">
        <f t="shared" si="63"/>
        <v>0.93236185747663547</v>
      </c>
      <c r="AY18" s="317">
        <f t="shared" si="25"/>
        <v>38580.490654205605</v>
      </c>
      <c r="AZ18" s="318">
        <f t="shared" si="74"/>
        <v>758749.6495327102</v>
      </c>
      <c r="BA18" s="228">
        <f t="shared" si="27"/>
        <v>0.94843706191588772</v>
      </c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</row>
    <row r="19" spans="1:73" s="154" customFormat="1" ht="60" customHeight="1" x14ac:dyDescent="0.15">
      <c r="A19" s="328" t="s">
        <v>371</v>
      </c>
      <c r="B19" s="138">
        <f t="shared" si="81"/>
        <v>1070000</v>
      </c>
      <c r="C19" s="139">
        <f>_xlfn.XLOOKUP(A19,'Target ปี 2026'!B:B,'Target ปี 2026'!C:C,0,0)</f>
        <v>1000000</v>
      </c>
      <c r="D19" s="139">
        <f t="shared" si="82"/>
        <v>33333.333333333336</v>
      </c>
      <c r="E19" s="202">
        <f>_xlfn.XLOOKUP(A19,ยอดขายปัจจุบัน!B:B,ยอดขายปัจจุบัน!D:D,0,0)</f>
        <v>780394</v>
      </c>
      <c r="F19" s="202">
        <f t="shared" si="83"/>
        <v>729340.18691588787</v>
      </c>
      <c r="G19" s="202">
        <f>_xlfn.XLOOKUP(A19,ยอดขายปัจจุบัน!B:B,ยอดขายปัจจุบัน!C:C,0,0)</f>
        <v>1705</v>
      </c>
      <c r="H19" s="203">
        <f t="shared" si="84"/>
        <v>457.70909090909089</v>
      </c>
      <c r="I19" s="140">
        <v>433</v>
      </c>
      <c r="J19" s="141">
        <f t="shared" si="85"/>
        <v>5.3984269484388614E-2</v>
      </c>
      <c r="K19" s="142">
        <f t="shared" si="86"/>
        <v>-219606</v>
      </c>
      <c r="L19" s="252">
        <f t="shared" si="5"/>
        <v>0.72934018691588787</v>
      </c>
      <c r="M19" s="215"/>
      <c r="N19" s="144">
        <f t="shared" si="87"/>
        <v>270659.81308411213</v>
      </c>
      <c r="O19" s="143">
        <f t="shared" si="88"/>
        <v>270659.81308411213</v>
      </c>
      <c r="P19" s="144">
        <f t="shared" si="89"/>
        <v>270659.81308411213</v>
      </c>
      <c r="Q19" s="144">
        <f t="shared" si="90"/>
        <v>27871.214285714286</v>
      </c>
      <c r="R19" s="144">
        <f t="shared" si="91"/>
        <v>613166.71428571432</v>
      </c>
      <c r="S19" s="145">
        <f t="shared" si="92"/>
        <v>0.61316671428571434</v>
      </c>
      <c r="T19" s="146">
        <f t="shared" si="93"/>
        <v>297725.79439252336</v>
      </c>
      <c r="U19" s="147">
        <f t="shared" si="94"/>
        <v>297725.79439252336</v>
      </c>
      <c r="V19" s="147">
        <f t="shared" si="95"/>
        <v>324791.77570093452</v>
      </c>
      <c r="W19" s="147">
        <f t="shared" si="96"/>
        <v>324791.77570093452</v>
      </c>
      <c r="X19" s="148">
        <f t="shared" si="97"/>
        <v>5.1736167317934276E-2</v>
      </c>
      <c r="Y19" s="148" t="e">
        <f t="shared" si="98"/>
        <v>#DIV/0!</v>
      </c>
      <c r="Z19" s="149">
        <f>_xlfn.XLOOKUP(A19,ยอดขายปีที่แล้ว!B:B,ยอดขายปีที่แล้ว!D:D,0,0)</f>
        <v>0</v>
      </c>
      <c r="AA19" s="150">
        <f t="shared" si="99"/>
        <v>0</v>
      </c>
      <c r="AB19" s="202">
        <f t="shared" si="100"/>
        <v>729340.18691588787</v>
      </c>
      <c r="AC19" s="155">
        <f t="shared" si="101"/>
        <v>729340.18691588787</v>
      </c>
      <c r="AD19" s="263" t="e">
        <f t="shared" si="102"/>
        <v>#DIV/0!</v>
      </c>
      <c r="AE19" s="149">
        <f>_xlfn.XLOOKUP(A19,ยอดขายเดือนที่เแล้ว!B:B,ยอดขายเดือนที่เแล้ว!D:D,0,0)</f>
        <v>658331</v>
      </c>
      <c r="AF19" s="146">
        <f t="shared" si="103"/>
        <v>615262.61682242993</v>
      </c>
      <c r="AG19" s="205">
        <f t="shared" si="104"/>
        <v>729340.18691588787</v>
      </c>
      <c r="AH19" s="364">
        <f t="shared" si="28"/>
        <v>114077.57009345794</v>
      </c>
      <c r="AI19" s="370">
        <f t="shared" si="29"/>
        <v>0.1854128090580574</v>
      </c>
      <c r="AJ19" s="151">
        <v>133285</v>
      </c>
      <c r="AK19" s="150">
        <v>200440</v>
      </c>
      <c r="AL19" s="150">
        <v>207846</v>
      </c>
      <c r="AM19" s="372">
        <v>172229</v>
      </c>
      <c r="AN19" s="371">
        <v>210532</v>
      </c>
      <c r="AO19" s="357">
        <f t="shared" si="30"/>
        <v>38303</v>
      </c>
      <c r="AP19" s="335">
        <f t="shared" si="31"/>
        <v>0.222395763779619</v>
      </c>
      <c r="AQ19" s="334" t="s">
        <v>395</v>
      </c>
      <c r="AR19" s="153"/>
      <c r="AS19" s="129" t="str">
        <f t="shared" si="69"/>
        <v>Yuedpao สาขา Sermthai Complex มหาสารคาม</v>
      </c>
      <c r="AT19" s="130">
        <f t="shared" si="70"/>
        <v>1000000</v>
      </c>
      <c r="AU19" s="130">
        <f t="shared" si="71"/>
        <v>729340.18691588787</v>
      </c>
      <c r="AV19" s="131">
        <f t="shared" si="72"/>
        <v>26047.863818424568</v>
      </c>
      <c r="AW19" s="132">
        <f t="shared" si="73"/>
        <v>755388.05073431239</v>
      </c>
      <c r="AX19" s="324">
        <f t="shared" si="63"/>
        <v>0.75538805073431237</v>
      </c>
      <c r="AY19" s="317">
        <f t="shared" si="25"/>
        <v>39071.795727636854</v>
      </c>
      <c r="AZ19" s="318">
        <f t="shared" si="74"/>
        <v>768411.98264352477</v>
      </c>
      <c r="BA19" s="228">
        <f t="shared" si="27"/>
        <v>0.76841198264352473</v>
      </c>
      <c r="BB19" s="153"/>
      <c r="BC19" s="153"/>
      <c r="BD19" s="153"/>
      <c r="BE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</row>
    <row r="20" spans="1:73" s="154" customFormat="1" ht="69" customHeight="1" x14ac:dyDescent="0.15">
      <c r="A20" s="157" t="s">
        <v>294</v>
      </c>
      <c r="B20" s="158"/>
      <c r="C20" s="159">
        <f>SUM(C3:C19)</f>
        <v>14900000</v>
      </c>
      <c r="D20" s="159">
        <f>SUM(D3:D16)</f>
        <v>418333.33333333337</v>
      </c>
      <c r="E20" s="159">
        <f>SUM(E3:E19)</f>
        <v>15084109.249999998</v>
      </c>
      <c r="F20" s="159">
        <f>SUM(F3:F19)</f>
        <v>14097298.364485983</v>
      </c>
      <c r="G20" s="159">
        <f>SUM(G3:G16)</f>
        <v>27254</v>
      </c>
      <c r="H20" s="160">
        <f>SUM(H3:H19)/16</f>
        <v>491.79578544790127</v>
      </c>
      <c r="I20" s="159">
        <v>423</v>
      </c>
      <c r="J20" s="161">
        <f t="shared" si="43"/>
        <v>0.13988689509660143</v>
      </c>
      <c r="K20" s="161">
        <f>(E20-C20)/$E$36</f>
        <v>184109.24999999814</v>
      </c>
      <c r="L20" s="162">
        <f t="shared" ref="L20" si="105">F20/C20</f>
        <v>0.9461274070124821</v>
      </c>
      <c r="M20" s="162"/>
      <c r="N20" s="169">
        <f>SUM(N3:N16)</f>
        <v>261117.05607476656</v>
      </c>
      <c r="O20" s="159">
        <f>SUM(O3:O15)</f>
        <v>321581.08411214978</v>
      </c>
      <c r="P20" s="159">
        <f>SUM(N20/$E$36)</f>
        <v>261117.05607476656</v>
      </c>
      <c r="Q20" s="159">
        <f t="shared" ref="Q20:W20" si="106">SUM(Q3:Q9)</f>
        <v>229859.41785714286</v>
      </c>
      <c r="R20" s="159">
        <f t="shared" si="106"/>
        <v>5056907.1928571425</v>
      </c>
      <c r="S20" s="159">
        <f t="shared" si="106"/>
        <v>6.320823202589807</v>
      </c>
      <c r="T20" s="159">
        <f t="shared" si="106"/>
        <v>-456514.08411214949</v>
      </c>
      <c r="U20" s="159">
        <f t="shared" si="106"/>
        <v>-456514.08411214949</v>
      </c>
      <c r="V20" s="159">
        <f t="shared" si="106"/>
        <v>-498015.36448598118</v>
      </c>
      <c r="W20" s="159">
        <f t="shared" si="106"/>
        <v>-498015.36448598118</v>
      </c>
      <c r="X20" s="163">
        <f>E20/$E$20</f>
        <v>1</v>
      </c>
      <c r="Y20" s="159" t="e">
        <f>SUM(Y3:Y9)</f>
        <v>#DIV/0!</v>
      </c>
      <c r="Z20" s="159">
        <f>SUM(Z3:Z9)</f>
        <v>5085239.75</v>
      </c>
      <c r="AA20" s="159">
        <f>SUM(AA3:AA9)</f>
        <v>4752560.5140186911</v>
      </c>
      <c r="AB20" s="159">
        <f>SUM(AB3:AB9)</f>
        <v>6015012.8037383184</v>
      </c>
      <c r="AC20" s="264">
        <f>AB20-AA20</f>
        <v>1262452.2897196272</v>
      </c>
      <c r="AD20" s="265">
        <f>(AB20-AA20)/AA20</f>
        <v>0.26563623671823955</v>
      </c>
      <c r="AE20" s="159">
        <f>SUM(AE3:AE9)</f>
        <v>6767858.2000000002</v>
      </c>
      <c r="AF20" s="159">
        <f>SUM(AF3:AF9)</f>
        <v>6325101.121495327</v>
      </c>
      <c r="AG20" s="159">
        <f>SUM(AG3:AG9)</f>
        <v>6015012.8037383184</v>
      </c>
      <c r="AH20" s="376">
        <f t="shared" si="28"/>
        <v>-310088.3177570086</v>
      </c>
      <c r="AI20" s="377">
        <f t="shared" si="29"/>
        <v>-4.9025037197144468E-2</v>
      </c>
      <c r="AJ20" s="159">
        <f>SUM(AJ3:AJ9)</f>
        <v>1331771</v>
      </c>
      <c r="AK20" s="159">
        <f>SUM(AK3:AK9)</f>
        <v>1422081.5</v>
      </c>
      <c r="AL20" s="159">
        <f>SUM(AL3:AL9)</f>
        <v>1652005</v>
      </c>
      <c r="AM20" s="159">
        <f>SUM(AM3:AM9)</f>
        <v>1633048.7</v>
      </c>
      <c r="AN20" s="159">
        <f>SUM(AN3:AN9)</f>
        <v>1791342.5</v>
      </c>
      <c r="AO20" s="169">
        <f t="shared" si="30"/>
        <v>158293.80000000005</v>
      </c>
      <c r="AP20" s="373">
        <f t="shared" si="31"/>
        <v>9.6931463219682337E-2</v>
      </c>
      <c r="AQ20" s="164"/>
      <c r="AR20" s="153"/>
      <c r="AS20" s="127" t="s">
        <v>308</v>
      </c>
      <c r="AT20" s="133">
        <f>SUM(AT3:AT16)</f>
        <v>12550000</v>
      </c>
      <c r="AU20" s="133">
        <f>SUM(AU3:AU16)</f>
        <v>12288882.943925235</v>
      </c>
      <c r="AV20" s="134">
        <f>AU20/$D$36</f>
        <v>438888.67656875838</v>
      </c>
      <c r="AW20" s="135">
        <f>(AV20*$E$36)+AU20</f>
        <v>12727771.620493993</v>
      </c>
      <c r="AX20" s="323">
        <f>AW20/AT20</f>
        <v>1.0141650693620712</v>
      </c>
      <c r="AY20" s="320">
        <f>(AV20*50%)+AV20</f>
        <v>658333.01485313755</v>
      </c>
      <c r="AZ20" s="321">
        <f>(AY20*$E$36)+AU20</f>
        <v>12947215.958778374</v>
      </c>
      <c r="BA20" s="322">
        <f t="shared" si="27"/>
        <v>1.031650674006245</v>
      </c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</row>
    <row r="21" spans="1:73" s="153" customFormat="1" ht="69" customHeight="1" x14ac:dyDescent="0.15">
      <c r="A21" s="157" t="s">
        <v>300</v>
      </c>
      <c r="B21" s="165">
        <f>SUM(B3:B15)</f>
        <v>12572500</v>
      </c>
      <c r="C21" s="159">
        <f>SUM(C3:C19)</f>
        <v>14900000</v>
      </c>
      <c r="D21" s="165">
        <f>C21/31</f>
        <v>480645.16129032261</v>
      </c>
      <c r="E21" s="165">
        <f>SUM(E3:E19)</f>
        <v>15084109.249999998</v>
      </c>
      <c r="F21" s="165">
        <f>SUM(F3:F19)</f>
        <v>14097298.364485983</v>
      </c>
      <c r="G21" s="165">
        <f>SUM(G3:G16)</f>
        <v>27254</v>
      </c>
      <c r="H21" s="160">
        <f>SUM(H3:H19)/16</f>
        <v>491.79578544790127</v>
      </c>
      <c r="I21" s="160">
        <v>423</v>
      </c>
      <c r="J21" s="166">
        <f t="shared" si="43"/>
        <v>0.13988689509660143</v>
      </c>
      <c r="K21" s="167">
        <f>(E21-C21)/$E$36</f>
        <v>184109.24999999814</v>
      </c>
      <c r="L21" s="162">
        <f>F21/C21</f>
        <v>0.9461274070124821</v>
      </c>
      <c r="M21" s="162"/>
      <c r="N21" s="359">
        <f>SUM(N3:N16)</f>
        <v>261117.05607476656</v>
      </c>
      <c r="O21" s="168">
        <f>N21/$E$36</f>
        <v>261117.05607476656</v>
      </c>
      <c r="P21" s="159">
        <f>SUM(N21/$E$36)</f>
        <v>261117.05607476656</v>
      </c>
      <c r="Q21" s="169">
        <f>E21/$D$36</f>
        <v>538718.18749999988</v>
      </c>
      <c r="R21" s="169">
        <f>Q21*22</f>
        <v>11851800.124999998</v>
      </c>
      <c r="S21" s="161">
        <f>R21/C21</f>
        <v>0.79542282718120794</v>
      </c>
      <c r="T21" s="159">
        <f>SUM(T3:T15)</f>
        <v>353739.19252336485</v>
      </c>
      <c r="U21" s="159">
        <f>T21/$E$36</f>
        <v>353739.19252336485</v>
      </c>
      <c r="V21" s="159">
        <f>SUM(V3:V15)</f>
        <v>385897.30093457969</v>
      </c>
      <c r="W21" s="159">
        <f>SUM(V21/$E$36)</f>
        <v>385897.30093457969</v>
      </c>
      <c r="X21" s="163">
        <f>E21/$E$21</f>
        <v>1</v>
      </c>
      <c r="Y21" s="170" t="e">
        <f>E21/H36</f>
        <v>#DIV/0!</v>
      </c>
      <c r="Z21" s="159">
        <f>SUM(Z2:Z20)</f>
        <v>14126428</v>
      </c>
      <c r="AA21" s="159">
        <f>SUM(AA3:AA19)</f>
        <v>8447817.9906542059</v>
      </c>
      <c r="AB21" s="159">
        <f>SUM(AB3:AB19)</f>
        <v>14097298.364485983</v>
      </c>
      <c r="AC21" s="171">
        <f t="shared" si="79"/>
        <v>5649480.3738317769</v>
      </c>
      <c r="AD21" s="166">
        <f t="shared" si="80"/>
        <v>0.66875024770677816</v>
      </c>
      <c r="AE21" s="165">
        <f>SUM(AE3:AE16)</f>
        <v>13900252.5</v>
      </c>
      <c r="AF21" s="165">
        <f>SUM(AF3:AF19)</f>
        <v>14731173.364485979</v>
      </c>
      <c r="AG21" s="165">
        <f>SUM(AG3:AG19)</f>
        <v>14097298.364485983</v>
      </c>
      <c r="AH21" s="376">
        <f t="shared" si="28"/>
        <v>-633874.99999999627</v>
      </c>
      <c r="AI21" s="377">
        <f t="shared" si="29"/>
        <v>-4.3029498351308988E-2</v>
      </c>
      <c r="AJ21" s="165">
        <f>SUM(AJ3:AJ19)</f>
        <v>3248828.5</v>
      </c>
      <c r="AK21" s="165">
        <f>SUM(AK3:AK19)</f>
        <v>3373702.5</v>
      </c>
      <c r="AL21" s="165">
        <f>SUM(AL3:AL15)</f>
        <v>3144658.54</v>
      </c>
      <c r="AM21" s="165">
        <f>SUM(AM3:AM15)</f>
        <v>3089725.7</v>
      </c>
      <c r="AN21" s="159">
        <f>SUM(AN3:AN15)</f>
        <v>3429310.5</v>
      </c>
      <c r="AO21" s="169">
        <f t="shared" si="30"/>
        <v>339584.79999999981</v>
      </c>
      <c r="AP21" s="373">
        <f t="shared" si="31"/>
        <v>0.10990775006337934</v>
      </c>
      <c r="AQ21" s="164"/>
      <c r="AW21" s="348">
        <f>(AW20*7)/100+AW20</f>
        <v>13618715.633928573</v>
      </c>
    </row>
    <row r="22" spans="1:73" x14ac:dyDescent="0.2">
      <c r="C22" s="173"/>
      <c r="I22" s="174"/>
    </row>
    <row r="23" spans="1:73" ht="32" customHeight="1" x14ac:dyDescent="0.2">
      <c r="C23" s="173"/>
      <c r="E23" s="353">
        <f>SUM(E21-C21)</f>
        <v>184109.24999999814</v>
      </c>
      <c r="F23" s="353">
        <f>SUM(F21-C21)</f>
        <v>-802701.63551401719</v>
      </c>
      <c r="G23" s="355"/>
      <c r="H23" s="355"/>
      <c r="I23" s="355"/>
      <c r="J23" s="355"/>
      <c r="K23" s="356" t="s">
        <v>25</v>
      </c>
      <c r="L23" s="354">
        <f>SUM(L21-100%)</f>
        <v>-5.3872592987517898E-2</v>
      </c>
      <c r="M23" s="178"/>
    </row>
    <row r="24" spans="1:73" x14ac:dyDescent="0.2">
      <c r="E24" s="176"/>
      <c r="F24" s="176"/>
      <c r="K24" s="177"/>
      <c r="L24" s="178"/>
      <c r="M24" s="178"/>
    </row>
    <row r="25" spans="1:73" x14ac:dyDescent="0.2">
      <c r="E25" s="176"/>
      <c r="F25" s="176"/>
      <c r="K25" s="177"/>
      <c r="L25" s="178"/>
      <c r="M25" s="178"/>
      <c r="Z25" s="175"/>
      <c r="AA25" s="175"/>
      <c r="AB25" s="175"/>
    </row>
    <row r="26" spans="1:73" ht="35" customHeight="1" x14ac:dyDescent="0.2">
      <c r="C26" s="326">
        <f>C21-F21</f>
        <v>802701.63551401719</v>
      </c>
      <c r="E26" s="176"/>
      <c r="F26" s="176"/>
      <c r="I26" s="172">
        <f>SUM(I3:I15)</f>
        <v>5112</v>
      </c>
      <c r="J26" s="172">
        <f>I26/15</f>
        <v>340.8</v>
      </c>
      <c r="K26" s="177"/>
      <c r="L26" s="178"/>
      <c r="M26" s="178"/>
      <c r="Z26" s="179"/>
      <c r="AA26" s="179"/>
      <c r="AB26" s="179"/>
    </row>
    <row r="27" spans="1:73" ht="8" customHeight="1" x14ac:dyDescent="0.2">
      <c r="E27" s="176"/>
      <c r="F27" s="176"/>
      <c r="K27" s="177"/>
      <c r="L27" s="178"/>
      <c r="M27" s="178"/>
    </row>
    <row r="28" spans="1:73" x14ac:dyDescent="0.2">
      <c r="C28" s="325"/>
      <c r="E28" s="176"/>
      <c r="F28" s="180"/>
      <c r="G28" s="174"/>
      <c r="K28" s="177"/>
      <c r="L28" s="181"/>
      <c r="M28" s="181"/>
      <c r="N28" s="182"/>
      <c r="O28" s="182"/>
      <c r="P28" s="182"/>
      <c r="Q28" s="182"/>
      <c r="R28" s="182"/>
      <c r="S28" s="182"/>
      <c r="T28" s="182"/>
      <c r="U28" s="182"/>
      <c r="V28" s="182"/>
      <c r="W28" s="182" t="s">
        <v>2</v>
      </c>
      <c r="X28" s="182"/>
      <c r="Y28" s="182"/>
      <c r="Z28" s="183"/>
      <c r="AA28" s="183"/>
      <c r="AB28" s="184"/>
      <c r="AC28" s="185"/>
      <c r="AD28" s="186"/>
      <c r="AE28" s="182"/>
      <c r="AF28" s="182"/>
      <c r="AG28" s="182"/>
      <c r="AH28" s="182"/>
      <c r="AI28" s="182"/>
      <c r="AJ28" s="182"/>
    </row>
    <row r="29" spans="1:73" x14ac:dyDescent="0.2">
      <c r="E29" s="176"/>
      <c r="F29" s="176"/>
      <c r="G29" s="174"/>
      <c r="K29" s="177"/>
      <c r="L29" s="181"/>
      <c r="M29" s="181"/>
      <c r="N29" s="182"/>
      <c r="O29" s="182"/>
      <c r="P29" s="182"/>
      <c r="Q29" s="182"/>
      <c r="R29" s="182"/>
      <c r="S29" s="182"/>
      <c r="T29" s="182"/>
      <c r="U29" s="182"/>
      <c r="V29" s="182"/>
      <c r="W29" s="182" t="s">
        <v>1</v>
      </c>
      <c r="X29" s="182"/>
      <c r="Y29" s="182"/>
      <c r="Z29" s="183"/>
      <c r="AA29" s="183"/>
      <c r="AB29" s="184"/>
      <c r="AC29" s="185"/>
      <c r="AD29" s="186"/>
      <c r="AE29" s="182"/>
      <c r="AF29" s="182"/>
      <c r="AG29" s="182"/>
      <c r="AH29" s="182"/>
      <c r="AI29" s="182"/>
      <c r="AJ29" s="182"/>
    </row>
    <row r="30" spans="1:73" x14ac:dyDescent="0.2">
      <c r="E30" s="176"/>
      <c r="F30" s="176"/>
      <c r="K30" s="177"/>
      <c r="L30" s="181"/>
      <c r="M30" s="181"/>
      <c r="N30" s="182"/>
      <c r="O30" s="182"/>
      <c r="P30" s="182"/>
      <c r="Q30" s="182"/>
      <c r="R30" s="182"/>
      <c r="S30" s="182"/>
      <c r="T30" s="182"/>
      <c r="U30" s="182"/>
      <c r="V30" s="182"/>
      <c r="W30" s="182" t="s">
        <v>45</v>
      </c>
      <c r="X30" s="182"/>
      <c r="Y30" s="182"/>
      <c r="Z30" s="183"/>
      <c r="AA30" s="183"/>
      <c r="AB30" s="184"/>
      <c r="AC30" s="185"/>
      <c r="AD30" s="186"/>
      <c r="AE30" s="182"/>
      <c r="AF30" s="182"/>
      <c r="AG30" s="182"/>
      <c r="AH30" s="182"/>
      <c r="AI30" s="182"/>
      <c r="AJ30" s="182"/>
    </row>
    <row r="31" spans="1:73" x14ac:dyDescent="0.2">
      <c r="E31" s="176"/>
      <c r="F31" s="176"/>
      <c r="K31" s="177"/>
      <c r="L31" s="181"/>
      <c r="M31" s="181"/>
      <c r="N31" s="182"/>
      <c r="O31" s="182"/>
      <c r="P31" s="182"/>
      <c r="Q31" s="182"/>
      <c r="R31" s="182"/>
      <c r="S31" s="182"/>
      <c r="T31" s="182"/>
      <c r="U31" s="182"/>
      <c r="V31" s="182"/>
      <c r="W31" s="182" t="s">
        <v>172</v>
      </c>
      <c r="X31" s="182"/>
      <c r="Y31" s="182"/>
      <c r="Z31" s="183"/>
      <c r="AA31" s="183"/>
      <c r="AB31" s="184"/>
      <c r="AC31" s="187"/>
      <c r="AD31" s="186"/>
      <c r="AE31" s="182"/>
      <c r="AF31" s="182"/>
      <c r="AG31" s="182"/>
      <c r="AH31" s="182"/>
      <c r="AI31" s="182"/>
      <c r="AJ31" s="182"/>
    </row>
    <row r="32" spans="1:73" x14ac:dyDescent="0.2">
      <c r="E32" s="188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 t="s">
        <v>46</v>
      </c>
      <c r="X32" s="182"/>
      <c r="Y32" s="182"/>
      <c r="Z32" s="183"/>
      <c r="AA32" s="183"/>
      <c r="AB32" s="184"/>
      <c r="AC32" s="185"/>
      <c r="AD32" s="186"/>
      <c r="AE32" s="182"/>
      <c r="AF32" s="182"/>
      <c r="AG32" s="182"/>
      <c r="AH32" s="182"/>
      <c r="AI32" s="182"/>
      <c r="AJ32" s="182"/>
    </row>
    <row r="33" spans="1:36" x14ac:dyDescent="0.2"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 t="s">
        <v>4</v>
      </c>
      <c r="X33" s="182"/>
      <c r="Y33" s="182"/>
      <c r="Z33" s="183"/>
      <c r="AA33" s="183"/>
      <c r="AB33" s="184"/>
      <c r="AC33" s="187"/>
      <c r="AD33" s="186"/>
      <c r="AE33" s="182"/>
      <c r="AF33" s="182"/>
      <c r="AG33" s="182"/>
      <c r="AH33" s="182"/>
      <c r="AI33" s="182"/>
      <c r="AJ33" s="182"/>
    </row>
    <row r="34" spans="1:36" x14ac:dyDescent="0.2">
      <c r="D34" s="387" t="s">
        <v>32</v>
      </c>
      <c r="E34" s="387"/>
      <c r="H34" s="387" t="s">
        <v>32</v>
      </c>
      <c r="I34" s="387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 t="s">
        <v>44</v>
      </c>
      <c r="X34" s="182"/>
      <c r="Y34" s="182"/>
      <c r="Z34" s="183"/>
      <c r="AA34" s="183"/>
      <c r="AB34" s="184"/>
      <c r="AC34" s="185"/>
      <c r="AD34" s="186"/>
      <c r="AE34" s="182"/>
      <c r="AF34" s="182"/>
      <c r="AG34" s="182"/>
      <c r="AH34" s="182"/>
      <c r="AI34" s="182"/>
      <c r="AJ34" s="182"/>
    </row>
    <row r="35" spans="1:36" x14ac:dyDescent="0.2">
      <c r="D35" s="189" t="s">
        <v>28</v>
      </c>
      <c r="E35" s="189" t="s">
        <v>27</v>
      </c>
      <c r="H35" s="386" t="s">
        <v>31</v>
      </c>
      <c r="I35" s="386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 t="s">
        <v>5</v>
      </c>
      <c r="X35" s="182"/>
      <c r="Y35" s="182"/>
      <c r="Z35" s="183"/>
      <c r="AA35" s="183"/>
      <c r="AB35" s="184"/>
      <c r="AC35" s="187"/>
      <c r="AD35" s="186"/>
      <c r="AE35" s="182"/>
      <c r="AF35" s="182"/>
      <c r="AG35" s="182"/>
      <c r="AH35" s="182"/>
      <c r="AI35" s="182"/>
      <c r="AJ35" s="182"/>
    </row>
    <row r="36" spans="1:36" ht="40" customHeight="1" x14ac:dyDescent="0.2">
      <c r="D36" s="190">
        <v>28</v>
      </c>
      <c r="E36" s="190">
        <f>29-D36</f>
        <v>1</v>
      </c>
      <c r="F36" s="191"/>
      <c r="H36" s="385"/>
      <c r="I36" s="385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 t="s">
        <v>43</v>
      </c>
      <c r="X36" s="182"/>
      <c r="Y36" s="182"/>
      <c r="Z36" s="183"/>
      <c r="AA36" s="183"/>
      <c r="AB36" s="184"/>
      <c r="AC36" s="185"/>
      <c r="AD36" s="186"/>
      <c r="AE36" s="182"/>
      <c r="AF36" s="182"/>
      <c r="AG36" s="182"/>
      <c r="AH36" s="182"/>
      <c r="AI36" s="182"/>
      <c r="AJ36" s="182"/>
    </row>
    <row r="37" spans="1:36" x14ac:dyDescent="0.2"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 t="s">
        <v>47</v>
      </c>
      <c r="X37" s="182"/>
      <c r="Y37" s="182"/>
      <c r="Z37" s="183"/>
      <c r="AA37" s="183"/>
      <c r="AB37" s="184"/>
      <c r="AC37" s="185"/>
      <c r="AD37" s="186"/>
      <c r="AE37" s="182"/>
      <c r="AF37" s="182"/>
      <c r="AG37" s="182"/>
      <c r="AH37" s="182"/>
      <c r="AI37" s="182"/>
      <c r="AJ37" s="182"/>
    </row>
    <row r="38" spans="1:36" x14ac:dyDescent="0.2"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 t="s">
        <v>3</v>
      </c>
      <c r="X38" s="182"/>
      <c r="Y38" s="182"/>
      <c r="Z38" s="183"/>
      <c r="AA38" s="183"/>
      <c r="AB38" s="184"/>
      <c r="AC38" s="187"/>
      <c r="AD38" s="186"/>
      <c r="AE38" s="182"/>
      <c r="AF38" s="182"/>
      <c r="AG38" s="182"/>
      <c r="AH38" s="182"/>
      <c r="AI38" s="182"/>
      <c r="AJ38" s="182"/>
    </row>
    <row r="39" spans="1:36" x14ac:dyDescent="0.2"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 t="s">
        <v>48</v>
      </c>
      <c r="X39" s="182"/>
      <c r="Y39" s="182"/>
      <c r="Z39" s="183"/>
      <c r="AA39" s="183"/>
      <c r="AB39" s="184"/>
      <c r="AC39" s="187"/>
      <c r="AD39" s="186"/>
      <c r="AE39" s="182"/>
      <c r="AF39" s="182"/>
      <c r="AG39" s="182"/>
      <c r="AH39" s="182"/>
      <c r="AI39" s="182"/>
      <c r="AJ39" s="182"/>
    </row>
    <row r="40" spans="1:36" x14ac:dyDescent="0.2">
      <c r="E40" s="175"/>
      <c r="F40" s="175"/>
      <c r="G40" s="175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 t="s">
        <v>6</v>
      </c>
      <c r="X40" s="182"/>
      <c r="Y40" s="182"/>
      <c r="Z40" s="183"/>
      <c r="AA40" s="183"/>
      <c r="AB40" s="184"/>
      <c r="AC40" s="187"/>
      <c r="AD40" s="186"/>
      <c r="AE40" s="182"/>
      <c r="AF40" s="182"/>
      <c r="AG40" s="182"/>
      <c r="AH40" s="182"/>
      <c r="AI40" s="182"/>
      <c r="AJ40" s="182"/>
    </row>
    <row r="41" spans="1:36" x14ac:dyDescent="0.2">
      <c r="E41" s="192"/>
      <c r="F41" s="192"/>
      <c r="G41" s="193"/>
      <c r="H41" s="194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 t="s">
        <v>7</v>
      </c>
      <c r="X41" s="182"/>
      <c r="Y41" s="182"/>
      <c r="Z41" s="183"/>
      <c r="AA41" s="183"/>
      <c r="AB41" s="184"/>
      <c r="AC41" s="187"/>
      <c r="AD41" s="186"/>
      <c r="AE41" s="182"/>
      <c r="AF41" s="182"/>
      <c r="AG41" s="182"/>
      <c r="AH41" s="182"/>
      <c r="AI41" s="182"/>
      <c r="AJ41" s="182"/>
    </row>
    <row r="42" spans="1:36" x14ac:dyDescent="0.2">
      <c r="E42" s="192"/>
      <c r="F42" s="192"/>
      <c r="G42" s="193"/>
      <c r="H42" s="194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 t="s">
        <v>196</v>
      </c>
      <c r="X42" s="182"/>
      <c r="Y42" s="182"/>
      <c r="Z42" s="183"/>
      <c r="AA42" s="183"/>
      <c r="AB42" s="184"/>
      <c r="AC42" s="187"/>
      <c r="AD42" s="186"/>
      <c r="AE42" s="182"/>
      <c r="AF42" s="182"/>
      <c r="AG42" s="182"/>
      <c r="AH42" s="182"/>
      <c r="AI42" s="182"/>
      <c r="AJ42" s="182"/>
    </row>
    <row r="43" spans="1:36" x14ac:dyDescent="0.2">
      <c r="A43" s="195" t="s">
        <v>0</v>
      </c>
      <c r="B43" s="195"/>
      <c r="C43" s="195" t="s">
        <v>42</v>
      </c>
      <c r="D43" s="195" t="s">
        <v>207</v>
      </c>
      <c r="E43" s="192"/>
      <c r="F43" s="192"/>
      <c r="G43" s="193"/>
      <c r="H43" s="194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</row>
    <row r="44" spans="1:36" x14ac:dyDescent="0.2">
      <c r="A44" s="196" t="s">
        <v>132</v>
      </c>
      <c r="B44" s="197"/>
      <c r="C44" s="139">
        <f t="shared" ref="C44:C50" si="107">C3</f>
        <v>900000</v>
      </c>
      <c r="D44" s="198">
        <f t="shared" ref="D44:D50" si="108">E3</f>
        <v>982007.5</v>
      </c>
      <c r="E44" s="192"/>
      <c r="F44" s="192"/>
      <c r="G44" s="193"/>
      <c r="H44" s="194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</row>
    <row r="45" spans="1:36" x14ac:dyDescent="0.2">
      <c r="A45" s="196" t="s">
        <v>138</v>
      </c>
      <c r="B45" s="197"/>
      <c r="C45" s="139">
        <f t="shared" si="107"/>
        <v>750000</v>
      </c>
      <c r="D45" s="198">
        <f t="shared" si="108"/>
        <v>784810.5</v>
      </c>
      <c r="E45" s="192"/>
      <c r="F45" s="192"/>
      <c r="G45" s="193"/>
      <c r="H45" s="194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</row>
    <row r="46" spans="1:36" x14ac:dyDescent="0.2">
      <c r="A46" s="196" t="s">
        <v>1</v>
      </c>
      <c r="B46" s="197"/>
      <c r="C46" s="139">
        <f t="shared" si="107"/>
        <v>950000</v>
      </c>
      <c r="D46" s="198">
        <f t="shared" si="108"/>
        <v>973986.2</v>
      </c>
      <c r="E46" s="192"/>
      <c r="F46" s="192"/>
      <c r="G46" s="199"/>
      <c r="H46" s="194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</row>
    <row r="47" spans="1:36" x14ac:dyDescent="0.2">
      <c r="A47" s="196" t="s">
        <v>107</v>
      </c>
      <c r="B47" s="197"/>
      <c r="C47" s="139">
        <f t="shared" si="107"/>
        <v>1000000</v>
      </c>
      <c r="D47" s="198">
        <f t="shared" si="108"/>
        <v>1286829.5</v>
      </c>
      <c r="E47" s="192"/>
      <c r="F47" s="192"/>
      <c r="G47" s="199"/>
      <c r="H47" s="194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</row>
    <row r="48" spans="1:36" x14ac:dyDescent="0.2">
      <c r="A48" s="196" t="s">
        <v>158</v>
      </c>
      <c r="B48" s="197"/>
      <c r="C48" s="139">
        <f t="shared" si="107"/>
        <v>500000</v>
      </c>
      <c r="D48" s="198">
        <f t="shared" si="108"/>
        <v>610704.5</v>
      </c>
      <c r="E48" s="192"/>
      <c r="F48" s="192"/>
      <c r="G48" s="193"/>
      <c r="H48" s="194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</row>
    <row r="49" spans="1:36" x14ac:dyDescent="0.2">
      <c r="A49" s="196" t="s">
        <v>196</v>
      </c>
      <c r="B49" s="197"/>
      <c r="C49" s="139">
        <f t="shared" si="107"/>
        <v>500000</v>
      </c>
      <c r="D49" s="198">
        <f t="shared" si="108"/>
        <v>575938</v>
      </c>
      <c r="E49" s="192"/>
      <c r="F49" s="192"/>
      <c r="G49" s="199"/>
      <c r="H49" s="194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</row>
    <row r="50" spans="1:36" x14ac:dyDescent="0.2">
      <c r="A50" s="200" t="s">
        <v>246</v>
      </c>
      <c r="B50" s="197"/>
      <c r="C50" s="139">
        <f t="shared" si="107"/>
        <v>1000000</v>
      </c>
      <c r="D50" s="198">
        <f t="shared" si="108"/>
        <v>1221787.5</v>
      </c>
      <c r="E50" s="192"/>
      <c r="F50" s="192"/>
      <c r="G50" s="199"/>
      <c r="H50" s="194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</row>
    <row r="51" spans="1:36" x14ac:dyDescent="0.2">
      <c r="A51" s="200" t="s">
        <v>78</v>
      </c>
      <c r="B51" s="197"/>
      <c r="C51" s="139">
        <f t="shared" ref="C51:C59" si="109">C11</f>
        <v>2200000</v>
      </c>
      <c r="D51" s="198">
        <f t="shared" ref="D51:D59" si="110">E11</f>
        <v>1807232</v>
      </c>
      <c r="E51" s="192"/>
      <c r="F51" s="192"/>
      <c r="G51" s="199"/>
      <c r="H51" s="194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</row>
    <row r="52" spans="1:36" x14ac:dyDescent="0.2">
      <c r="A52" s="196" t="s">
        <v>45</v>
      </c>
      <c r="B52" s="197"/>
      <c r="C52" s="139">
        <f t="shared" si="109"/>
        <v>1200000</v>
      </c>
      <c r="D52" s="198">
        <f t="shared" si="110"/>
        <v>1159000.5</v>
      </c>
      <c r="E52" s="192"/>
      <c r="F52" s="192"/>
      <c r="G52" s="199"/>
      <c r="H52" s="194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</row>
    <row r="53" spans="1:36" x14ac:dyDescent="0.2">
      <c r="A53" s="201" t="s">
        <v>80</v>
      </c>
      <c r="B53" s="197"/>
      <c r="C53" s="139">
        <f t="shared" si="109"/>
        <v>600000</v>
      </c>
      <c r="D53" s="198">
        <f t="shared" si="110"/>
        <v>691868</v>
      </c>
      <c r="E53" s="192"/>
      <c r="F53" s="192"/>
      <c r="G53" s="199"/>
      <c r="H53" s="194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</row>
    <row r="54" spans="1:36" x14ac:dyDescent="0.2">
      <c r="A54" s="201" t="s">
        <v>111</v>
      </c>
      <c r="B54" s="197"/>
      <c r="C54" s="139">
        <f t="shared" si="109"/>
        <v>1800000</v>
      </c>
      <c r="D54" s="198">
        <f t="shared" si="110"/>
        <v>1737483.5</v>
      </c>
      <c r="E54" s="192"/>
      <c r="F54" s="192"/>
      <c r="G54" s="199"/>
      <c r="H54" s="194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</row>
    <row r="55" spans="1:36" x14ac:dyDescent="0.2">
      <c r="A55" s="196" t="s">
        <v>292</v>
      </c>
      <c r="B55" s="197"/>
      <c r="C55" s="139">
        <f t="shared" si="109"/>
        <v>350000</v>
      </c>
      <c r="D55" s="198">
        <f t="shared" si="110"/>
        <v>396760.54</v>
      </c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</row>
    <row r="56" spans="1:36" x14ac:dyDescent="0.2">
      <c r="A56" s="196" t="s">
        <v>306</v>
      </c>
      <c r="B56" s="197"/>
      <c r="C56" s="139">
        <f t="shared" si="109"/>
        <v>800000</v>
      </c>
      <c r="D56" s="198">
        <f t="shared" si="110"/>
        <v>920696.51</v>
      </c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</row>
    <row r="57" spans="1:36" x14ac:dyDescent="0.2">
      <c r="A57" s="197" t="s">
        <v>361</v>
      </c>
      <c r="B57" s="197"/>
      <c r="C57" s="139">
        <f t="shared" si="109"/>
        <v>550000</v>
      </c>
      <c r="D57" s="198">
        <f t="shared" si="110"/>
        <v>384029.5</v>
      </c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</row>
    <row r="58" spans="1:36" x14ac:dyDescent="0.2">
      <c r="A58" s="201" t="s">
        <v>359</v>
      </c>
      <c r="B58" s="197"/>
      <c r="C58" s="139">
        <f t="shared" si="109"/>
        <v>800000</v>
      </c>
      <c r="D58" s="198">
        <f t="shared" si="110"/>
        <v>770581</v>
      </c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</row>
    <row r="59" spans="1:36" x14ac:dyDescent="0.2">
      <c r="A59" s="197" t="s">
        <v>371</v>
      </c>
      <c r="B59" s="197"/>
      <c r="C59" s="139">
        <f t="shared" si="109"/>
        <v>1000000</v>
      </c>
      <c r="D59" s="198">
        <f t="shared" si="110"/>
        <v>780394</v>
      </c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</row>
    <row r="60" spans="1:36" x14ac:dyDescent="0.2">
      <c r="A60" s="197"/>
      <c r="B60" s="197"/>
      <c r="C60" s="139"/>
      <c r="D60" s="198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</row>
    <row r="61" spans="1:36" x14ac:dyDescent="0.2">
      <c r="A61" s="197"/>
      <c r="B61" s="197"/>
      <c r="C61" s="139"/>
      <c r="D61" s="198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</row>
    <row r="62" spans="1:36" x14ac:dyDescent="0.2">
      <c r="A62" s="197"/>
      <c r="B62" s="197"/>
      <c r="C62" s="139"/>
      <c r="D62" s="198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</row>
    <row r="63" spans="1:36" x14ac:dyDescent="0.2">
      <c r="A63" s="197"/>
      <c r="B63" s="197"/>
      <c r="C63" s="197"/>
      <c r="D63" s="197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</row>
    <row r="64" spans="1:36" x14ac:dyDescent="0.2"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</row>
    <row r="65" spans="12:36" x14ac:dyDescent="0.2"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</row>
    <row r="66" spans="12:36" x14ac:dyDescent="0.2"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</row>
    <row r="67" spans="12:36" x14ac:dyDescent="0.2"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</row>
    <row r="68" spans="12:36" x14ac:dyDescent="0.2"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</row>
    <row r="69" spans="12:36" x14ac:dyDescent="0.2"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</row>
    <row r="70" spans="12:36" x14ac:dyDescent="0.2"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</row>
    <row r="71" spans="12:36" x14ac:dyDescent="0.2"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</row>
    <row r="72" spans="12:36" x14ac:dyDescent="0.2"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</row>
    <row r="73" spans="12:36" x14ac:dyDescent="0.2"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</row>
    <row r="74" spans="12:36" x14ac:dyDescent="0.2"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</row>
    <row r="75" spans="12:36" x14ac:dyDescent="0.2"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</row>
  </sheetData>
  <autoFilter ref="C43:D56" xr:uid="{17E02038-B555-7F4C-A170-734FE1AFA547}"/>
  <mergeCells count="24">
    <mergeCell ref="D34:E34"/>
    <mergeCell ref="Y1:Y2"/>
    <mergeCell ref="J1:J2"/>
    <mergeCell ref="K1:K2"/>
    <mergeCell ref="L1:L2"/>
    <mergeCell ref="X1:X2"/>
    <mergeCell ref="N1:W1"/>
    <mergeCell ref="E1:G1"/>
    <mergeCell ref="H1:H2"/>
    <mergeCell ref="I1:I2"/>
    <mergeCell ref="M1:M2"/>
    <mergeCell ref="AY1:BA1"/>
    <mergeCell ref="AT1:AX1"/>
    <mergeCell ref="AS1:AS2"/>
    <mergeCell ref="H36:I36"/>
    <mergeCell ref="H35:I35"/>
    <mergeCell ref="H34:I34"/>
    <mergeCell ref="Z1:AD1"/>
    <mergeCell ref="AE1:AI1"/>
    <mergeCell ref="AJ1:AP1"/>
    <mergeCell ref="AQ1:AQ2"/>
    <mergeCell ref="AC2:AD2"/>
    <mergeCell ref="AH2:AI2"/>
    <mergeCell ref="AO2:AP2"/>
  </mergeCells>
  <phoneticPr fontId="3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6E27-F218-E34A-AE43-734D7D42A1E1}">
  <dimension ref="A1:Q86"/>
  <sheetViews>
    <sheetView workbookViewId="0">
      <pane ySplit="1" topLeftCell="A2" activePane="bottomLeft" state="frozen"/>
      <selection pane="bottomLeft" activeCell="M18" sqref="M18"/>
    </sheetView>
  </sheetViews>
  <sheetFormatPr baseColWidth="10" defaultRowHeight="15" x14ac:dyDescent="0.15"/>
  <cols>
    <col min="1" max="1" width="41" customWidth="1"/>
    <col min="2" max="2" width="14.85546875" style="267" customWidth="1"/>
    <col min="3" max="4" width="14.85546875" customWidth="1"/>
    <col min="6" max="7" width="13.140625" style="267" customWidth="1"/>
    <col min="8" max="8" width="12.28515625" style="270" bestFit="1" customWidth="1"/>
    <col min="9" max="9" width="10.7109375" style="269"/>
    <col min="10" max="10" width="4.42578125" customWidth="1"/>
    <col min="11" max="11" width="11.85546875" hidden="1" customWidth="1"/>
    <col min="13" max="14" width="12.85546875" customWidth="1"/>
    <col min="15" max="15" width="8.140625" customWidth="1"/>
    <col min="16" max="16" width="12.28515625" bestFit="1" customWidth="1"/>
    <col min="17" max="17" width="9.140625" customWidth="1"/>
  </cols>
  <sheetData>
    <row r="1" spans="1:17" s="246" customFormat="1" ht="25" customHeight="1" x14ac:dyDescent="0.15">
      <c r="A1" s="272" t="s">
        <v>0</v>
      </c>
      <c r="B1" s="293" t="s">
        <v>42</v>
      </c>
      <c r="C1" s="272" t="s">
        <v>207</v>
      </c>
      <c r="D1" s="272" t="s">
        <v>207</v>
      </c>
      <c r="E1" s="272" t="s">
        <v>345</v>
      </c>
      <c r="F1" s="273">
        <v>2024</v>
      </c>
      <c r="G1" s="273">
        <v>2025</v>
      </c>
      <c r="H1" s="437" t="s">
        <v>12</v>
      </c>
      <c r="I1" s="437"/>
    </row>
    <row r="2" spans="1:17" s="271" customFormat="1" ht="20" customHeight="1" x14ac:dyDescent="0.15">
      <c r="A2" s="274" t="s">
        <v>343</v>
      </c>
      <c r="B2" s="275"/>
      <c r="C2" s="274"/>
      <c r="D2" s="274"/>
      <c r="E2" s="274"/>
      <c r="F2" s="275"/>
      <c r="G2" s="275"/>
      <c r="H2" s="276"/>
      <c r="I2" s="277"/>
      <c r="L2" s="272" t="s">
        <v>351</v>
      </c>
      <c r="M2" s="272" t="s">
        <v>301</v>
      </c>
      <c r="N2" s="272" t="s">
        <v>302</v>
      </c>
      <c r="O2" s="272" t="s">
        <v>256</v>
      </c>
      <c r="P2" s="437" t="s">
        <v>327</v>
      </c>
      <c r="Q2" s="437"/>
    </row>
    <row r="3" spans="1:17" s="271" customFormat="1" ht="20" customHeight="1" x14ac:dyDescent="0.15">
      <c r="A3" s="8" t="s">
        <v>82</v>
      </c>
      <c r="B3" s="278">
        <f>_xlfn.XLOOKUP(A3,'Target ปี 2026'!B:B,'Target ปี 2026'!C:C,0,0)</f>
        <v>1800000</v>
      </c>
      <c r="C3" s="278">
        <f>_xlfn.XLOOKUP(A3,ยอดขายปัจจุบัน!B:B,ยอดขายปัจจุบัน!D:D,0,0)</f>
        <v>2090030.7899999996</v>
      </c>
      <c r="D3" s="279">
        <f>C3*100/107</f>
        <v>1953299.8037383175</v>
      </c>
      <c r="E3" s="280">
        <f>D3/B3</f>
        <v>1.0851665576323986</v>
      </c>
      <c r="F3" s="278">
        <f>_xlfn.XLOOKUP(A3,ยอดขายปีที่แล้ว!B:B,ยอดขายปีที่แล้ว!D:D,0,0)</f>
        <v>1698672</v>
      </c>
      <c r="G3" s="278">
        <f>_xlfn.XLOOKUP(A3,ยอดขายปัจจุบัน!B:B,ยอดขายปัจจุบัน!D:D,0,0)</f>
        <v>2090030.7899999996</v>
      </c>
      <c r="H3" s="281">
        <f>G3-F3</f>
        <v>391358.78999999957</v>
      </c>
      <c r="I3" s="282">
        <f>(G3-F3)/F3</f>
        <v>0.23039102899205943</v>
      </c>
      <c r="L3" s="272" t="str">
        <f>A2</f>
        <v>GENG</v>
      </c>
      <c r="M3" s="279">
        <f>B17</f>
        <v>18200000</v>
      </c>
      <c r="N3" s="279">
        <f>D17</f>
        <v>18686242.373831779</v>
      </c>
      <c r="O3" s="280">
        <f>E17</f>
        <v>1.0267166139468011</v>
      </c>
      <c r="P3" s="278">
        <f>H17</f>
        <v>4387272.2799999993</v>
      </c>
      <c r="Q3" s="280">
        <f>I17</f>
        <v>0.2811091366290443</v>
      </c>
    </row>
    <row r="4" spans="1:17" s="271" customFormat="1" ht="20" customHeight="1" x14ac:dyDescent="0.15">
      <c r="A4" s="8" t="s">
        <v>87</v>
      </c>
      <c r="B4" s="278">
        <f>_xlfn.XLOOKUP(A4,'Target ปี 2026'!B:B,'Target ปี 2026'!C:C,0,0)</f>
        <v>1500000</v>
      </c>
      <c r="C4" s="278">
        <f>_xlfn.XLOOKUP(A4,ยอดขายปัจจุบัน!B:B,ยอดขายปัจจุบัน!D:D,0,0)</f>
        <v>1664499.16</v>
      </c>
      <c r="D4" s="279">
        <f t="shared" ref="D4:D67" si="0">C4*100/107</f>
        <v>1555606.691588785</v>
      </c>
      <c r="E4" s="280">
        <f t="shared" ref="E4:E67" si="1">D4/B4</f>
        <v>1.0370711277258566</v>
      </c>
      <c r="F4" s="278">
        <f>_xlfn.XLOOKUP(A4,ยอดขายปีที่แล้ว!B:B,ยอดขายปีที่แล้ว!D:D,0,0)</f>
        <v>1420659</v>
      </c>
      <c r="G4" s="278">
        <f>_xlfn.XLOOKUP(A4,ยอดขายปัจจุบัน!B:B,ยอดขายปัจจุบัน!D:D,0,0)</f>
        <v>1664499.16</v>
      </c>
      <c r="H4" s="281">
        <f t="shared" ref="H4:H67" si="2">G4-F4</f>
        <v>243840.15999999992</v>
      </c>
      <c r="I4" s="282">
        <f t="shared" ref="I4:I67" si="3">(G4-F4)/F4</f>
        <v>0.17163876764234057</v>
      </c>
      <c r="L4" s="272" t="str">
        <f>A19</f>
        <v>BOOM</v>
      </c>
      <c r="M4" s="279">
        <f>B34</f>
        <v>14020000</v>
      </c>
      <c r="N4" s="279">
        <f>D34</f>
        <v>13034645.373831773</v>
      </c>
      <c r="O4" s="280">
        <f>E34</f>
        <v>0.92971792965989819</v>
      </c>
      <c r="P4" s="278">
        <f>H34</f>
        <v>2730339.0500000007</v>
      </c>
      <c r="Q4" s="280">
        <f>I34</f>
        <v>0.24341663612078088</v>
      </c>
    </row>
    <row r="5" spans="1:17" s="271" customFormat="1" ht="20" customHeight="1" x14ac:dyDescent="0.15">
      <c r="A5" s="8" t="s">
        <v>92</v>
      </c>
      <c r="B5" s="278">
        <f>_xlfn.XLOOKUP(A5,'Target ปี 2026'!B:B,'Target ปี 2026'!C:C,0,0)</f>
        <v>1400000</v>
      </c>
      <c r="C5" s="278">
        <f>_xlfn.XLOOKUP(A5,ยอดขายปัจจุบัน!B:B,ยอดขายปัจจุบัน!D:D,0,0)</f>
        <v>1527520</v>
      </c>
      <c r="D5" s="279">
        <f t="shared" si="0"/>
        <v>1427588.785046729</v>
      </c>
      <c r="E5" s="280">
        <f t="shared" si="1"/>
        <v>1.0197062750333779</v>
      </c>
      <c r="F5" s="278">
        <f>_xlfn.XLOOKUP(A5,ยอดขายปีที่แล้ว!B:B,ยอดขายปีที่แล้ว!D:D,0,0)</f>
        <v>1288663.46</v>
      </c>
      <c r="G5" s="278">
        <f>_xlfn.XLOOKUP(A5,ยอดขายปัจจุบัน!B:B,ยอดขายปัจจุบัน!D:D,0,0)</f>
        <v>1527520</v>
      </c>
      <c r="H5" s="281">
        <f t="shared" si="2"/>
        <v>238856.54000000004</v>
      </c>
      <c r="I5" s="282">
        <f t="shared" si="3"/>
        <v>0.18535214772055386</v>
      </c>
      <c r="L5" s="272" t="str">
        <f>A36</f>
        <v>BEN</v>
      </c>
      <c r="M5" s="279">
        <f>B51</f>
        <v>14450000</v>
      </c>
      <c r="N5" s="279">
        <f>D51</f>
        <v>14797076.289719626</v>
      </c>
      <c r="O5" s="280">
        <f>E51</f>
        <v>1.024019120395822</v>
      </c>
      <c r="P5" s="278">
        <f>G51</f>
        <v>15832871.629999999</v>
      </c>
      <c r="Q5" s="280">
        <f>I51</f>
        <v>0.31878370656965377</v>
      </c>
    </row>
    <row r="6" spans="1:17" s="271" customFormat="1" ht="20" customHeight="1" x14ac:dyDescent="0.15">
      <c r="A6" s="8" t="s">
        <v>96</v>
      </c>
      <c r="B6" s="278">
        <f>_xlfn.XLOOKUP(A6,'Target ปี 2026'!B:B,'Target ปี 2026'!C:C,0,0)</f>
        <v>1500000</v>
      </c>
      <c r="C6" s="278">
        <f>_xlfn.XLOOKUP(A6,ยอดขายปัจจุบัน!B:B,ยอดขายปัจจุบัน!D:D,0,0)</f>
        <v>1484213</v>
      </c>
      <c r="D6" s="279">
        <f t="shared" si="0"/>
        <v>1387114.9532710281</v>
      </c>
      <c r="E6" s="280">
        <f t="shared" si="1"/>
        <v>0.92474330218068546</v>
      </c>
      <c r="F6" s="278">
        <f>_xlfn.XLOOKUP(A6,ยอดขายปีที่แล้ว!B:B,ยอดขายปีที่แล้ว!D:D,0,0)</f>
        <v>1401769.2</v>
      </c>
      <c r="G6" s="278">
        <f>_xlfn.XLOOKUP(A6,ยอดขายปัจจุบัน!B:B,ยอดขายปัจจุบัน!D:D,0,0)</f>
        <v>1484213</v>
      </c>
      <c r="H6" s="281">
        <f t="shared" si="2"/>
        <v>82443.800000000047</v>
      </c>
      <c r="I6" s="282">
        <f t="shared" si="3"/>
        <v>5.8814104347563102E-2</v>
      </c>
      <c r="L6" s="272" t="str">
        <f>A53</f>
        <v>PIM</v>
      </c>
      <c r="M6" s="279">
        <f>B68</f>
        <v>11500000</v>
      </c>
      <c r="N6" s="279">
        <f>D68</f>
        <v>11505029.233644858</v>
      </c>
      <c r="O6" s="280">
        <f>E68</f>
        <v>1.0004373246647702</v>
      </c>
      <c r="P6" s="278">
        <f>G68</f>
        <v>12310381.279999999</v>
      </c>
      <c r="Q6" s="280">
        <f>I68</f>
        <v>0.23791990549093034</v>
      </c>
    </row>
    <row r="7" spans="1:17" s="271" customFormat="1" ht="20" customHeight="1" x14ac:dyDescent="0.15">
      <c r="A7" s="8" t="s">
        <v>98</v>
      </c>
      <c r="B7" s="278">
        <f>_xlfn.XLOOKUP(A7,'Target ปี 2026'!B:B,'Target ปี 2026'!C:C,0,0)</f>
        <v>1200000</v>
      </c>
      <c r="C7" s="278">
        <f>_xlfn.XLOOKUP(A7,ยอดขายปัจจุบัน!B:B,ยอดขายปัจจุบัน!D:D,0,0)</f>
        <v>1403772</v>
      </c>
      <c r="D7" s="279">
        <f t="shared" si="0"/>
        <v>1311936.4485981308</v>
      </c>
      <c r="E7" s="280">
        <f t="shared" si="1"/>
        <v>1.0932803738317758</v>
      </c>
      <c r="F7" s="278">
        <f>_xlfn.XLOOKUP(A7,ยอดขายปีที่แล้ว!B:B,ยอดขายปีที่แล้ว!D:D,0,0)</f>
        <v>1118056.5</v>
      </c>
      <c r="G7" s="278">
        <f>_xlfn.XLOOKUP(A7,ยอดขายปัจจุบัน!B:B,ยอดขายปัจจุบัน!D:D,0,0)</f>
        <v>1403772</v>
      </c>
      <c r="H7" s="281">
        <f t="shared" si="2"/>
        <v>285715.5</v>
      </c>
      <c r="I7" s="282">
        <f t="shared" si="3"/>
        <v>0.25554656674327281</v>
      </c>
      <c r="L7" s="272" t="str">
        <f>A53</f>
        <v>PIM</v>
      </c>
      <c r="M7" s="279">
        <f>B84</f>
        <v>9300000</v>
      </c>
      <c r="N7" s="279">
        <f>D84</f>
        <v>9756024.5420560744</v>
      </c>
      <c r="O7" s="280">
        <f>E84</f>
        <v>1.0490348969952767</v>
      </c>
      <c r="P7" s="278">
        <f>H84</f>
        <v>3455181.7599999979</v>
      </c>
      <c r="Q7" s="280">
        <f>I84</f>
        <v>0.49474488436716302</v>
      </c>
    </row>
    <row r="8" spans="1:17" s="271" customFormat="1" ht="20" customHeight="1" x14ac:dyDescent="0.15">
      <c r="A8" s="8" t="s">
        <v>123</v>
      </c>
      <c r="B8" s="278">
        <f>_xlfn.XLOOKUP(A8,'Target ปี 2026'!B:B,'Target ปี 2026'!C:C,0,0)</f>
        <v>1400000</v>
      </c>
      <c r="C8" s="278">
        <f>_xlfn.XLOOKUP(A8,ยอดขายปัจจุบัน!B:B,ยอดขายปัจจุบัน!D:D,0,0)</f>
        <v>1199059</v>
      </c>
      <c r="D8" s="279">
        <f t="shared" si="0"/>
        <v>1120615.8878504673</v>
      </c>
      <c r="E8" s="280">
        <f t="shared" si="1"/>
        <v>0.80043991989319097</v>
      </c>
      <c r="F8" s="278">
        <f>_xlfn.XLOOKUP(A8,ยอดขายปีที่แล้ว!B:B,ยอดขายปีที่แล้ว!D:D,0,0)</f>
        <v>868644.6</v>
      </c>
      <c r="G8" s="278">
        <f>_xlfn.XLOOKUP(A8,ยอดขายปัจจุบัน!B:B,ยอดขายปัจจุบัน!D:D,0,0)</f>
        <v>1199059</v>
      </c>
      <c r="H8" s="281">
        <f t="shared" si="2"/>
        <v>330414.40000000002</v>
      </c>
      <c r="I8" s="282">
        <f t="shared" si="3"/>
        <v>0.38037927133835869</v>
      </c>
    </row>
    <row r="9" spans="1:17" s="271" customFormat="1" ht="20" customHeight="1" x14ac:dyDescent="0.15">
      <c r="A9" s="8" t="s">
        <v>125</v>
      </c>
      <c r="B9" s="278">
        <f>_xlfn.XLOOKUP(A9,'Target ปี 2026'!B:B,'Target ปี 2026'!C:C,0,0)</f>
        <v>900000</v>
      </c>
      <c r="C9" s="278">
        <f>_xlfn.XLOOKUP(A9,ยอดขายปัจจุบัน!B:B,ยอดขายปัจจุบัน!D:D,0,0)</f>
        <v>939354</v>
      </c>
      <c r="D9" s="279">
        <f t="shared" si="0"/>
        <v>877900.93457943923</v>
      </c>
      <c r="E9" s="280">
        <f t="shared" si="1"/>
        <v>0.9754454828660436</v>
      </c>
      <c r="F9" s="278">
        <f>_xlfn.XLOOKUP(A9,ยอดขายปีที่แล้ว!B:B,ยอดขายปีที่แล้ว!D:D,0,0)</f>
        <v>818065</v>
      </c>
      <c r="G9" s="278">
        <f>_xlfn.XLOOKUP(A9,ยอดขายปัจจุบัน!B:B,ยอดขายปัจจุบัน!D:D,0,0)</f>
        <v>939354</v>
      </c>
      <c r="H9" s="281">
        <f t="shared" si="2"/>
        <v>121289</v>
      </c>
      <c r="I9" s="282">
        <f t="shared" si="3"/>
        <v>0.14826327981272883</v>
      </c>
      <c r="L9" s="272" t="s">
        <v>352</v>
      </c>
      <c r="M9" s="279">
        <f>SUM(M3:M7)</f>
        <v>67470000</v>
      </c>
      <c r="N9" s="279">
        <f>SUM(N3:N7)</f>
        <v>67779017.813084111</v>
      </c>
      <c r="O9" s="280">
        <f>N9/M9</f>
        <v>1.0045800772652158</v>
      </c>
      <c r="P9" s="279">
        <f>H86</f>
        <v>16765975.310000002</v>
      </c>
      <c r="Q9" s="294">
        <f>I86</f>
        <v>0.30069413323423172</v>
      </c>
    </row>
    <row r="10" spans="1:17" s="271" customFormat="1" ht="20" customHeight="1" x14ac:dyDescent="0.15">
      <c r="A10" s="8" t="s">
        <v>196</v>
      </c>
      <c r="B10" s="278">
        <f>_xlfn.XLOOKUP(A10,'Target ปี 2026'!B:B,'Target ปี 2026'!C:C,0,0)</f>
        <v>500000</v>
      </c>
      <c r="C10" s="278">
        <f>_xlfn.XLOOKUP(A10,ยอดขายปัจจุบัน!B:B,ยอดขายปัจจุบัน!D:D,0,0)</f>
        <v>575938</v>
      </c>
      <c r="D10" s="279">
        <f t="shared" si="0"/>
        <v>538259.81308411213</v>
      </c>
      <c r="E10" s="280">
        <f t="shared" si="1"/>
        <v>1.0765196261682242</v>
      </c>
      <c r="F10" s="278">
        <f>_xlfn.XLOOKUP(A10,ยอดขายปีที่แล้ว!B:B,ยอดขายปีที่แล้ว!D:D,0,0)</f>
        <v>365093</v>
      </c>
      <c r="G10" s="278">
        <f>_xlfn.XLOOKUP(A10,ยอดขายปัจจุบัน!B:B,ยอดขายปัจจุบัน!D:D,0,0)</f>
        <v>575938</v>
      </c>
      <c r="H10" s="281">
        <f t="shared" si="2"/>
        <v>210845</v>
      </c>
      <c r="I10" s="282">
        <f t="shared" si="3"/>
        <v>0.57751038776421348</v>
      </c>
    </row>
    <row r="11" spans="1:17" s="271" customFormat="1" ht="20" customHeight="1" x14ac:dyDescent="0.15">
      <c r="A11" s="8" t="s">
        <v>90</v>
      </c>
      <c r="B11" s="278">
        <f>_xlfn.XLOOKUP(A11,'Target ปี 2026'!B:B,'Target ปี 2026'!C:C,0,0)</f>
        <v>1300000</v>
      </c>
      <c r="C11" s="278">
        <f>_xlfn.XLOOKUP(A11,ยอดขายปัจจุบัน!B:B,ยอดขายปัจจุบัน!D:D,0,0)</f>
        <v>1549871.51</v>
      </c>
      <c r="D11" s="279">
        <f t="shared" si="0"/>
        <v>1448478.0467289719</v>
      </c>
      <c r="E11" s="280">
        <f t="shared" si="1"/>
        <v>1.1142138820992091</v>
      </c>
      <c r="F11" s="278">
        <f>_xlfn.XLOOKUP(A11,ยอดขายปีที่แล้ว!B:B,ยอดขายปีที่แล้ว!D:D,0,0)</f>
        <v>1262257.5</v>
      </c>
      <c r="G11" s="278">
        <f>_xlfn.XLOOKUP(A11,ยอดขายปัจจุบัน!B:B,ยอดขายปัจจุบัน!D:D,0,0)</f>
        <v>1549871.51</v>
      </c>
      <c r="H11" s="281">
        <f t="shared" si="2"/>
        <v>287614.01</v>
      </c>
      <c r="I11" s="282">
        <f t="shared" si="3"/>
        <v>0.22785684378979726</v>
      </c>
    </row>
    <row r="12" spans="1:17" s="271" customFormat="1" ht="20" customHeight="1" x14ac:dyDescent="0.15">
      <c r="A12" s="8" t="s">
        <v>173</v>
      </c>
      <c r="B12" s="278">
        <f>_xlfn.XLOOKUP(A12,'Target ปี 2026'!B:B,'Target ปี 2026'!C:C,0,0)</f>
        <v>600000</v>
      </c>
      <c r="C12" s="278">
        <f>_xlfn.XLOOKUP(A12,ยอดขายปัจจุบัน!B:B,ยอดขายปัจจุบัน!D:D,0,0)</f>
        <v>719550.5</v>
      </c>
      <c r="D12" s="279">
        <f t="shared" si="0"/>
        <v>672477.10280373832</v>
      </c>
      <c r="E12" s="280">
        <f t="shared" si="1"/>
        <v>1.1207951713395639</v>
      </c>
      <c r="F12" s="278">
        <f>_xlfn.XLOOKUP(A12,ยอดขายปีที่แล้ว!B:B,ยอดขายปีที่แล้ว!D:D,0,0)</f>
        <v>554429</v>
      </c>
      <c r="G12" s="278">
        <f>_xlfn.XLOOKUP(A12,ยอดขายปัจจุบัน!B:B,ยอดขายปัจจุบัน!D:D,0,0)</f>
        <v>719550.5</v>
      </c>
      <c r="H12" s="281">
        <f t="shared" si="2"/>
        <v>165121.5</v>
      </c>
      <c r="I12" s="282">
        <f t="shared" si="3"/>
        <v>0.29782262471840398</v>
      </c>
    </row>
    <row r="13" spans="1:17" s="271" customFormat="1" ht="20" customHeight="1" x14ac:dyDescent="0.15">
      <c r="A13" s="8" t="s">
        <v>103</v>
      </c>
      <c r="B13" s="278">
        <f>_xlfn.XLOOKUP(A13,'Target ปี 2026'!B:B,'Target ปี 2026'!C:C,0,0)</f>
        <v>1900000</v>
      </c>
      <c r="C13" s="278">
        <f>_xlfn.XLOOKUP(A13,ยอดขายปัจจุบัน!B:B,ยอดขายปัจจุบัน!D:D,0,0)</f>
        <v>2127079.38</v>
      </c>
      <c r="D13" s="279">
        <f t="shared" si="0"/>
        <v>1987924.6542056075</v>
      </c>
      <c r="E13" s="280">
        <f t="shared" si="1"/>
        <v>1.0462761337924249</v>
      </c>
      <c r="F13" s="278">
        <f>_xlfn.XLOOKUP(A13,ยอดขายปีที่แล้ว!B:B,ยอดขายปีที่แล้ว!D:D,0,0)</f>
        <v>1624899.8</v>
      </c>
      <c r="G13" s="278">
        <f>_xlfn.XLOOKUP(A13,ยอดขายปัจจุบัน!B:B,ยอดขายปัจจุบัน!D:D,0,0)</f>
        <v>2127079.38</v>
      </c>
      <c r="H13" s="281">
        <f t="shared" si="2"/>
        <v>502179.57999999984</v>
      </c>
      <c r="I13" s="282">
        <f t="shared" si="3"/>
        <v>0.30905264435382407</v>
      </c>
    </row>
    <row r="14" spans="1:17" s="271" customFormat="1" ht="20" customHeight="1" x14ac:dyDescent="0.15">
      <c r="A14" s="8" t="s">
        <v>175</v>
      </c>
      <c r="B14" s="278">
        <f>_xlfn.XLOOKUP(A14,'Target ปี 2026'!B:B,'Target ปี 2026'!C:C,0,0)</f>
        <v>1000000</v>
      </c>
      <c r="C14" s="278">
        <f>_xlfn.XLOOKUP(A14,ยอดขายปัจจุบัน!B:B,ยอดขายปัจจุบัน!D:D,0,0)</f>
        <v>1204375.5</v>
      </c>
      <c r="D14" s="279">
        <f t="shared" si="0"/>
        <v>1125584.5794392524</v>
      </c>
      <c r="E14" s="280">
        <f t="shared" si="1"/>
        <v>1.1255845794392523</v>
      </c>
      <c r="F14" s="278">
        <f>_xlfn.XLOOKUP(A14,ยอดขายปีที่แล้ว!B:B,ยอดขายปีที่แล้ว!D:D,0,0)</f>
        <v>957870</v>
      </c>
      <c r="G14" s="278">
        <f>_xlfn.XLOOKUP(A14,ยอดขายปัจจุบัน!B:B,ยอดขายปัจจุบัน!D:D,0,0)</f>
        <v>1204375.5</v>
      </c>
      <c r="H14" s="281">
        <f t="shared" si="2"/>
        <v>246505.5</v>
      </c>
      <c r="I14" s="282">
        <f t="shared" si="3"/>
        <v>0.2573475523818472</v>
      </c>
    </row>
    <row r="15" spans="1:17" s="271" customFormat="1" ht="20" customHeight="1" x14ac:dyDescent="0.15">
      <c r="A15" s="8" t="s">
        <v>3</v>
      </c>
      <c r="B15" s="278">
        <f>_xlfn.XLOOKUP(A15,'Target ปี 2026'!B:B,'Target ปี 2026'!C:C,0,0)</f>
        <v>1000000</v>
      </c>
      <c r="C15" s="278">
        <f>_xlfn.XLOOKUP(A15,ยอดขายปัจจุบัน!B:B,ยอดขายปัจจุบัน!D:D,0,0)</f>
        <v>989396.5</v>
      </c>
      <c r="D15" s="279">
        <f t="shared" si="0"/>
        <v>924669.62616822426</v>
      </c>
      <c r="E15" s="280">
        <f t="shared" si="1"/>
        <v>0.92466962616822423</v>
      </c>
      <c r="F15" s="278">
        <f>_xlfn.XLOOKUP(A15,ยอดขายปีที่แล้ว!B:B,ยอดขายปีที่แล้ว!D:D,0,0)</f>
        <v>831565</v>
      </c>
      <c r="G15" s="278">
        <f>_xlfn.XLOOKUP(A15,ยอดขายปัจจุบัน!B:B,ยอดขายปัจจุบัน!D:D,0,0)</f>
        <v>989396.5</v>
      </c>
      <c r="H15" s="281">
        <f t="shared" si="2"/>
        <v>157831.5</v>
      </c>
      <c r="I15" s="282">
        <f t="shared" si="3"/>
        <v>0.18980055678149033</v>
      </c>
    </row>
    <row r="16" spans="1:17" s="271" customFormat="1" ht="20" customHeight="1" x14ac:dyDescent="0.15">
      <c r="A16" s="8" t="s">
        <v>94</v>
      </c>
      <c r="B16" s="278">
        <f>_xlfn.XLOOKUP(A16,'Target ปี 2026'!B:B,'Target ปี 2026'!C:C,0,0)</f>
        <v>2200000</v>
      </c>
      <c r="C16" s="278">
        <f>_xlfn.XLOOKUP(A16,ยอดขายปัจจุบัน!B:B,ยอดขายปัจจุบัน!D:D,0,0)</f>
        <v>2519620</v>
      </c>
      <c r="D16" s="279">
        <f t="shared" si="0"/>
        <v>2354785.0467289719</v>
      </c>
      <c r="E16" s="280">
        <f t="shared" si="1"/>
        <v>1.07035683942226</v>
      </c>
      <c r="F16" s="278">
        <f>_xlfn.XLOOKUP(A16,ยอดขายปีที่แล้ว!B:B,ยอดขายปีที่แล้ว!D:D,0,0)</f>
        <v>1396363</v>
      </c>
      <c r="G16" s="278">
        <f>_xlfn.XLOOKUP(A16,ยอดขายปัจจุบัน!B:B,ยอดขายปัจจุบัน!D:D,0,0)</f>
        <v>2519620</v>
      </c>
      <c r="H16" s="281">
        <f t="shared" si="2"/>
        <v>1123257</v>
      </c>
      <c r="I16" s="282">
        <f t="shared" si="3"/>
        <v>0.80441618690841854</v>
      </c>
    </row>
    <row r="17" spans="1:9" s="271" customFormat="1" ht="20" customHeight="1" x14ac:dyDescent="0.15">
      <c r="A17" s="272" t="s">
        <v>261</v>
      </c>
      <c r="B17" s="284">
        <f>SUM(B3:B16)</f>
        <v>18200000</v>
      </c>
      <c r="C17" s="284">
        <f>_xlfn.XLOOKUP(A17,ยอดขายปัจจุบัน!B:B,ยอดขายปัจจุบัน!D:D,0,0)</f>
        <v>0</v>
      </c>
      <c r="D17" s="285">
        <f>SUM(D3:D16)</f>
        <v>18686242.373831779</v>
      </c>
      <c r="E17" s="286">
        <f t="shared" si="1"/>
        <v>1.0267166139468011</v>
      </c>
      <c r="F17" s="284">
        <f>SUM(F3:F16)</f>
        <v>15607007.060000001</v>
      </c>
      <c r="G17" s="284">
        <f>SUM(G3:G16)</f>
        <v>19994279.34</v>
      </c>
      <c r="H17" s="284">
        <f t="shared" si="2"/>
        <v>4387272.2799999993</v>
      </c>
      <c r="I17" s="287">
        <f t="shared" si="3"/>
        <v>0.2811091366290443</v>
      </c>
    </row>
    <row r="18" spans="1:9" s="271" customFormat="1" ht="20" customHeight="1" x14ac:dyDescent="0.15">
      <c r="A18" s="8"/>
      <c r="B18" s="278"/>
      <c r="C18" s="278">
        <f>_xlfn.XLOOKUP(A18,ยอดขายปัจจุบัน!B:B,ยอดขายปัจจุบัน!D:D,0,0)</f>
        <v>0</v>
      </c>
      <c r="D18" s="8"/>
      <c r="E18" s="8"/>
      <c r="F18" s="278"/>
      <c r="G18" s="278"/>
      <c r="H18" s="281"/>
      <c r="I18" s="282"/>
    </row>
    <row r="19" spans="1:9" s="271" customFormat="1" ht="20" customHeight="1" x14ac:dyDescent="0.15">
      <c r="A19" s="274" t="s">
        <v>265</v>
      </c>
      <c r="B19" s="275"/>
      <c r="C19" s="275">
        <f>_xlfn.XLOOKUP(A19,ยอดขายปัจจุบัน!B:B,ยอดขายปัจจุบัน!D:D,0,0)</f>
        <v>0</v>
      </c>
      <c r="D19" s="288"/>
      <c r="E19" s="289"/>
      <c r="F19" s="275"/>
      <c r="G19" s="275"/>
      <c r="H19" s="290"/>
      <c r="I19" s="291"/>
    </row>
    <row r="20" spans="1:9" s="271" customFormat="1" ht="20" customHeight="1" x14ac:dyDescent="0.15">
      <c r="A20" s="8" t="s">
        <v>78</v>
      </c>
      <c r="B20" s="278">
        <f>_xlfn.XLOOKUP(A20,'Target ปี 2026'!B:B,'Target ปี 2026'!C:C,0,0)</f>
        <v>2200000</v>
      </c>
      <c r="C20" s="278">
        <f>_xlfn.XLOOKUP(A20,ยอดขายปัจจุบัน!B:B,ยอดขายปัจจุบัน!D:D,0,0)</f>
        <v>1807232</v>
      </c>
      <c r="D20" s="279">
        <f t="shared" si="0"/>
        <v>1689001.8691588785</v>
      </c>
      <c r="E20" s="280">
        <f>D20/B20</f>
        <v>0.76772812234494481</v>
      </c>
      <c r="F20" s="278">
        <f>_xlfn.XLOOKUP(A20,ยอดขายปีที่แล้ว!B:B,ยอดขายปีที่แล้ว!D:D,0,0)</f>
        <v>1688582.5</v>
      </c>
      <c r="G20" s="278">
        <f>_xlfn.XLOOKUP(A20,ยอดขายปัจจุบัน!B:B,ยอดขายปัจจุบัน!D:D,0,0)</f>
        <v>1807232</v>
      </c>
      <c r="H20" s="281">
        <f>G20-F20</f>
        <v>118649.5</v>
      </c>
      <c r="I20" s="282">
        <f>(G20-F20)/F20</f>
        <v>7.0265740643409486E-2</v>
      </c>
    </row>
    <row r="21" spans="1:9" s="271" customFormat="1" ht="20" customHeight="1" x14ac:dyDescent="0.15">
      <c r="A21" s="8" t="s">
        <v>85</v>
      </c>
      <c r="B21" s="278">
        <f>_xlfn.XLOOKUP(A21,'Target ปี 2026'!B:B,'Target ปี 2026'!C:C,0,0)</f>
        <v>2000000</v>
      </c>
      <c r="C21" s="278">
        <f>_xlfn.XLOOKUP(A21,ยอดขายปัจจุบัน!B:B,ยอดขายปัจจุบัน!D:D,0,0)</f>
        <v>2022108</v>
      </c>
      <c r="D21" s="279">
        <f t="shared" si="0"/>
        <v>1889820.5607476635</v>
      </c>
      <c r="E21" s="280">
        <f t="shared" si="1"/>
        <v>0.94491028037383173</v>
      </c>
      <c r="F21" s="278">
        <f>_xlfn.XLOOKUP(A21,ยอดขายปีที่แล้ว!B:B,ยอดขายปีที่แล้ว!D:D,0,0)</f>
        <v>1825624.5</v>
      </c>
      <c r="G21" s="278">
        <f>_xlfn.XLOOKUP(A21,ยอดขายปัจจุบัน!B:B,ยอดขายปัจจุบัน!D:D,0,0)</f>
        <v>2022108</v>
      </c>
      <c r="H21" s="281">
        <f t="shared" si="2"/>
        <v>196483.5</v>
      </c>
      <c r="I21" s="282">
        <f t="shared" si="3"/>
        <v>0.10762536326610428</v>
      </c>
    </row>
    <row r="22" spans="1:9" s="271" customFormat="1" ht="20" customHeight="1" x14ac:dyDescent="0.15">
      <c r="A22" s="8" t="s">
        <v>105</v>
      </c>
      <c r="B22" s="278">
        <f>_xlfn.XLOOKUP(A22,'Target ปี 2026'!B:B,'Target ปี 2026'!C:C,0,0)</f>
        <v>0</v>
      </c>
      <c r="C22" s="278">
        <f>_xlfn.XLOOKUP(A22,ยอดขายปัจจุบัน!B:B,ยอดขายปัจจุบัน!D:D,0,0)</f>
        <v>0</v>
      </c>
      <c r="D22" s="279">
        <f t="shared" si="0"/>
        <v>0</v>
      </c>
      <c r="E22" s="280" t="e">
        <f t="shared" si="1"/>
        <v>#DIV/0!</v>
      </c>
      <c r="F22" s="278">
        <f>_xlfn.XLOOKUP(A22,ยอดขายปีที่แล้ว!B:B,ยอดขายปีที่แล้ว!D:D,0,0)</f>
        <v>0</v>
      </c>
      <c r="G22" s="278">
        <f>_xlfn.XLOOKUP(A22,ยอดขายปัจจุบัน!B:B,ยอดขายปัจจุบัน!D:D,0,0)</f>
        <v>0</v>
      </c>
      <c r="H22" s="281">
        <f t="shared" si="2"/>
        <v>0</v>
      </c>
      <c r="I22" s="282" t="e">
        <f t="shared" si="3"/>
        <v>#DIV/0!</v>
      </c>
    </row>
    <row r="23" spans="1:9" s="271" customFormat="1" ht="20" customHeight="1" x14ac:dyDescent="0.15">
      <c r="A23" s="8" t="s">
        <v>118</v>
      </c>
      <c r="B23" s="278">
        <f>_xlfn.XLOOKUP(A23,'Target ปี 2026'!B:B,'Target ปี 2026'!C:C,0,0)</f>
        <v>1200000</v>
      </c>
      <c r="C23" s="278">
        <f>_xlfn.XLOOKUP(A23,ยอดขายปัจจุบัน!B:B,ยอดขายปัจจุบัน!D:D,0,0)</f>
        <v>1363201.5</v>
      </c>
      <c r="D23" s="279">
        <f t="shared" si="0"/>
        <v>1274020.093457944</v>
      </c>
      <c r="E23" s="280">
        <f t="shared" si="1"/>
        <v>1.0616834112149534</v>
      </c>
      <c r="F23" s="278">
        <f>_xlfn.XLOOKUP(A23,ยอดขายปีที่แล้ว!B:B,ยอดขายปีที่แล้ว!D:D,0,0)</f>
        <v>1105513</v>
      </c>
      <c r="G23" s="278">
        <f>_xlfn.XLOOKUP(A23,ยอดขายปัจจุบัน!B:B,ยอดขายปัจจุบัน!D:D,0,0)</f>
        <v>1363201.5</v>
      </c>
      <c r="H23" s="281">
        <f t="shared" si="2"/>
        <v>257688.5</v>
      </c>
      <c r="I23" s="282">
        <f t="shared" si="3"/>
        <v>0.23309404774073214</v>
      </c>
    </row>
    <row r="24" spans="1:9" s="271" customFormat="1" ht="20" customHeight="1" x14ac:dyDescent="0.15">
      <c r="A24" s="8" t="s">
        <v>114</v>
      </c>
      <c r="B24" s="278">
        <f>_xlfn.XLOOKUP(A24,'Target ปี 2026'!B:B,'Target ปี 2026'!C:C,0,0)</f>
        <v>2200000</v>
      </c>
      <c r="C24" s="278">
        <f>_xlfn.XLOOKUP(A24,ยอดขายปัจจุบัน!B:B,ยอดขายปัจจุบัน!D:D,0,0)</f>
        <v>1579229.55</v>
      </c>
      <c r="D24" s="279">
        <f t="shared" si="0"/>
        <v>1475915.4672897197</v>
      </c>
      <c r="E24" s="280">
        <f t="shared" si="1"/>
        <v>0.67087066694987263</v>
      </c>
      <c r="F24" s="278">
        <f>_xlfn.XLOOKUP(A24,ยอดขายปีที่แล้ว!B:B,ยอดขายปีที่แล้ว!D:D,0,0)</f>
        <v>971482</v>
      </c>
      <c r="G24" s="278">
        <f>_xlfn.XLOOKUP(A24,ยอดขายปัจจุบัน!B:B,ยอดขายปัจจุบัน!D:D,0,0)</f>
        <v>1579229.55</v>
      </c>
      <c r="H24" s="281">
        <f t="shared" si="2"/>
        <v>607747.55000000005</v>
      </c>
      <c r="I24" s="282">
        <f t="shared" si="3"/>
        <v>0.62558807059729371</v>
      </c>
    </row>
    <row r="25" spans="1:9" s="271" customFormat="1" ht="20" customHeight="1" x14ac:dyDescent="0.15">
      <c r="A25" s="8" t="s">
        <v>107</v>
      </c>
      <c r="B25" s="278">
        <f>_xlfn.XLOOKUP(A25,'Target ปี 2026'!B:B,'Target ปี 2026'!C:C,0,0)</f>
        <v>1000000</v>
      </c>
      <c r="C25" s="278">
        <f>_xlfn.XLOOKUP(A25,ยอดขายปัจจุบัน!B:B,ยอดขายปัจจุบัน!D:D,0,0)</f>
        <v>1286829.5</v>
      </c>
      <c r="D25" s="279">
        <f t="shared" si="0"/>
        <v>1202644.3925233644</v>
      </c>
      <c r="E25" s="280">
        <f t="shared" si="1"/>
        <v>1.2026443925233643</v>
      </c>
      <c r="F25" s="278">
        <f>_xlfn.XLOOKUP(A25,ยอดขายปีที่แล้ว!B:B,ยอดขายปีที่แล้ว!D:D,0,0)</f>
        <v>978405</v>
      </c>
      <c r="G25" s="278">
        <f>_xlfn.XLOOKUP(A25,ยอดขายปัจจุบัน!B:B,ยอดขายปัจจุบัน!D:D,0,0)</f>
        <v>1286829.5</v>
      </c>
      <c r="H25" s="281">
        <f t="shared" si="2"/>
        <v>308424.5</v>
      </c>
      <c r="I25" s="282">
        <f t="shared" si="3"/>
        <v>0.31523193360622648</v>
      </c>
    </row>
    <row r="26" spans="1:9" s="271" customFormat="1" ht="20" customHeight="1" x14ac:dyDescent="0.15">
      <c r="A26" s="8" t="s">
        <v>161</v>
      </c>
      <c r="B26" s="278">
        <f>_xlfn.XLOOKUP(A26,'Target ปี 2026'!B:B,'Target ปี 2026'!C:C,0,0)</f>
        <v>650000</v>
      </c>
      <c r="C26" s="278">
        <f>_xlfn.XLOOKUP(A26,ยอดขายปัจจุบัน!B:B,ยอดขายปัจจุบัน!D:D,0,0)</f>
        <v>638815</v>
      </c>
      <c r="D26" s="279">
        <f t="shared" si="0"/>
        <v>597023.36448598129</v>
      </c>
      <c r="E26" s="280">
        <f t="shared" si="1"/>
        <v>0.91849748382458662</v>
      </c>
      <c r="F26" s="278">
        <f>_xlfn.XLOOKUP(A26,ยอดขายปีที่แล้ว!B:B,ยอดขายปีที่แล้ว!D:D,0,0)</f>
        <v>368727</v>
      </c>
      <c r="G26" s="278">
        <f>_xlfn.XLOOKUP(A26,ยอดขายปัจจุบัน!B:B,ยอดขายปัจจุบัน!D:D,0,0)</f>
        <v>638815</v>
      </c>
      <c r="H26" s="281">
        <f t="shared" si="2"/>
        <v>270088</v>
      </c>
      <c r="I26" s="282">
        <f t="shared" si="3"/>
        <v>0.73248772126803841</v>
      </c>
    </row>
    <row r="27" spans="1:9" s="271" customFormat="1" ht="20" customHeight="1" x14ac:dyDescent="0.15">
      <c r="A27" s="8" t="s">
        <v>140</v>
      </c>
      <c r="B27" s="278">
        <f>_xlfn.XLOOKUP(A27,'Target ปี 2026'!B:B,'Target ปี 2026'!C:C,0,0)</f>
        <v>950000</v>
      </c>
      <c r="C27" s="278">
        <f>_xlfn.XLOOKUP(A27,ยอดขายปัจจุบัน!B:B,ยอดขายปัจจุบัน!D:D,0,0)</f>
        <v>979113.5</v>
      </c>
      <c r="D27" s="279">
        <f t="shared" si="0"/>
        <v>915059.34579439252</v>
      </c>
      <c r="E27" s="280">
        <f t="shared" si="1"/>
        <v>0.96322036399409738</v>
      </c>
      <c r="F27" s="278">
        <f>_xlfn.XLOOKUP(A27,ยอดขายปีที่แล้ว!B:B,ยอดขายปีที่แล้ว!D:D,0,0)</f>
        <v>825230.11</v>
      </c>
      <c r="G27" s="278">
        <f>_xlfn.XLOOKUP(A27,ยอดขายปัจจุบัน!B:B,ยอดขายปัจจุบัน!D:D,0,0)</f>
        <v>979113.5</v>
      </c>
      <c r="H27" s="281">
        <f t="shared" si="2"/>
        <v>153883.39000000001</v>
      </c>
      <c r="I27" s="282">
        <f t="shared" si="3"/>
        <v>0.18647330985050947</v>
      </c>
    </row>
    <row r="28" spans="1:9" s="271" customFormat="1" ht="20" customHeight="1" x14ac:dyDescent="0.15">
      <c r="A28" s="8" t="s">
        <v>136</v>
      </c>
      <c r="B28" s="278">
        <f>_xlfn.XLOOKUP(A28,'Target ปี 2026'!B:B,'Target ปี 2026'!C:C,0,0)</f>
        <v>650000</v>
      </c>
      <c r="C28" s="278">
        <f>_xlfn.XLOOKUP(A28,ยอดขายปัจจุบัน!B:B,ยอดขายปัจจุบัน!D:D,0,0)</f>
        <v>669665</v>
      </c>
      <c r="D28" s="279">
        <f t="shared" si="0"/>
        <v>625855.14018691587</v>
      </c>
      <c r="E28" s="280">
        <f t="shared" si="1"/>
        <v>0.9628540618260244</v>
      </c>
      <c r="F28" s="278">
        <f>_xlfn.XLOOKUP(A28,ยอดขายปีที่แล้ว!B:B,ยอดขายปีที่แล้ว!D:D,0,0)</f>
        <v>613787</v>
      </c>
      <c r="G28" s="278">
        <f>_xlfn.XLOOKUP(A28,ยอดขายปัจจุบัน!B:B,ยอดขายปัจจุบัน!D:D,0,0)</f>
        <v>669665</v>
      </c>
      <c r="H28" s="281">
        <f t="shared" si="2"/>
        <v>55878</v>
      </c>
      <c r="I28" s="282">
        <f t="shared" si="3"/>
        <v>9.1038096277698946E-2</v>
      </c>
    </row>
    <row r="29" spans="1:9" s="271" customFormat="1" ht="20" customHeight="1" x14ac:dyDescent="0.15">
      <c r="A29" s="8" t="s">
        <v>102</v>
      </c>
      <c r="B29" s="278">
        <f>_xlfn.XLOOKUP(A29,'Target ปี 2026'!B:B,'Target ปี 2026'!C:C,0,0)</f>
        <v>900000</v>
      </c>
      <c r="C29" s="278">
        <f>_xlfn.XLOOKUP(A29,ยอดขายปัจจุบัน!B:B,ยอดขายปัจจุบัน!D:D,0,0)</f>
        <v>814290.5</v>
      </c>
      <c r="D29" s="279">
        <f t="shared" si="0"/>
        <v>761019.15887850465</v>
      </c>
      <c r="E29" s="280">
        <f t="shared" si="1"/>
        <v>0.84557684319833848</v>
      </c>
      <c r="F29" s="278">
        <f>_xlfn.XLOOKUP(A29,ยอดขายปีที่แล้ว!B:B,ยอดขายปีที่แล้ว!D:D,0,0)</f>
        <v>947759.5</v>
      </c>
      <c r="G29" s="278">
        <f>_xlfn.XLOOKUP(A29,ยอดขายปัจจุบัน!B:B,ยอดขายปัจจุบัน!D:D,0,0)</f>
        <v>814290.5</v>
      </c>
      <c r="H29" s="281">
        <f t="shared" si="2"/>
        <v>-133469</v>
      </c>
      <c r="I29" s="282">
        <f t="shared" si="3"/>
        <v>-0.14082581076739406</v>
      </c>
    </row>
    <row r="30" spans="1:9" s="271" customFormat="1" ht="20" customHeight="1" x14ac:dyDescent="0.15">
      <c r="A30" s="8" t="s">
        <v>80</v>
      </c>
      <c r="B30" s="278">
        <f>_xlfn.XLOOKUP(A30,'Target ปี 2026'!B:B,'Target ปี 2026'!C:C,0,0)</f>
        <v>600000</v>
      </c>
      <c r="C30" s="278">
        <f>_xlfn.XLOOKUP(A30,ยอดขายปัจจุบัน!B:B,ยอดขายปัจจุบัน!D:D,0,0)</f>
        <v>691868</v>
      </c>
      <c r="D30" s="279">
        <f t="shared" si="0"/>
        <v>646605.60747663549</v>
      </c>
      <c r="E30" s="280">
        <f t="shared" si="1"/>
        <v>1.0776760124610592</v>
      </c>
      <c r="F30" s="278">
        <f>_xlfn.XLOOKUP(A30,ยอดขายปีที่แล้ว!B:B,ยอดขายปีที่แล้ว!D:D,0,0)</f>
        <v>483471</v>
      </c>
      <c r="G30" s="278">
        <f>_xlfn.XLOOKUP(A30,ยอดขายปัจจุบัน!B:B,ยอดขายปัจจุบัน!D:D,0,0)</f>
        <v>691868</v>
      </c>
      <c r="H30" s="281">
        <f t="shared" si="2"/>
        <v>208397</v>
      </c>
      <c r="I30" s="282">
        <f t="shared" si="3"/>
        <v>0.43104343383574195</v>
      </c>
    </row>
    <row r="31" spans="1:9" s="271" customFormat="1" ht="20" customHeight="1" x14ac:dyDescent="0.15">
      <c r="A31" s="8" t="s">
        <v>116</v>
      </c>
      <c r="B31" s="278">
        <f>_xlfn.XLOOKUP(A31,'Target ปี 2026'!B:B,'Target ปี 2026'!C:C,0,0)</f>
        <v>700000</v>
      </c>
      <c r="C31" s="278">
        <f>_xlfn.XLOOKUP(A31,ยอดขายปัจจุบัน!B:B,ยอดขายปัจจุบัน!D:D,0,0)</f>
        <v>765501</v>
      </c>
      <c r="D31" s="279">
        <f t="shared" si="0"/>
        <v>715421.49532710284</v>
      </c>
      <c r="E31" s="280">
        <f t="shared" si="1"/>
        <v>1.0220307076101469</v>
      </c>
      <c r="F31" s="278">
        <f>_xlfn.XLOOKUP(A31,ยอดขายปีที่แล้ว!B:B,ยอดขายปีที่แล้ว!D:D,0,0)</f>
        <v>924631.5</v>
      </c>
      <c r="G31" s="278">
        <f>_xlfn.XLOOKUP(A31,ยอดขายปัจจุบัน!B:B,ยอดขายปัจจุบัน!D:D,0,0)</f>
        <v>765501</v>
      </c>
      <c r="H31" s="281">
        <f t="shared" si="2"/>
        <v>-159130.5</v>
      </c>
      <c r="I31" s="282">
        <f t="shared" si="3"/>
        <v>-0.17210153450320478</v>
      </c>
    </row>
    <row r="32" spans="1:9" s="271" customFormat="1" ht="20" customHeight="1" x14ac:dyDescent="0.15">
      <c r="A32" s="8" t="s">
        <v>291</v>
      </c>
      <c r="B32" s="278">
        <f>_xlfn.XLOOKUP(A32,'Target ปี 2026'!B:B,'Target ปี 2026'!C:C,0,0)</f>
        <v>470000</v>
      </c>
      <c r="C32" s="278">
        <f>_xlfn.XLOOKUP(A32,ยอดขายปัจจุบัน!B:B,ยอดขายปัจจุบัน!D:D,0,0)</f>
        <v>695770</v>
      </c>
      <c r="D32" s="279">
        <f t="shared" si="0"/>
        <v>650252.33644859819</v>
      </c>
      <c r="E32" s="280">
        <f t="shared" si="1"/>
        <v>1.3835156094651024</v>
      </c>
      <c r="F32" s="278">
        <f>_xlfn.XLOOKUP(A32,ยอดขายปีที่แล้ว!B:B,ยอดขายปีที่แล้ว!D:D,0,0)</f>
        <v>0</v>
      </c>
      <c r="G32" s="278">
        <f>_xlfn.XLOOKUP(A32,ยอดขายปัจจุบัน!B:B,ยอดขายปัจจุบัน!D:D,0,0)</f>
        <v>695770</v>
      </c>
      <c r="H32" s="281">
        <f t="shared" si="2"/>
        <v>695770</v>
      </c>
      <c r="I32" s="282" t="e">
        <f t="shared" si="3"/>
        <v>#DIV/0!</v>
      </c>
    </row>
    <row r="33" spans="1:9" s="271" customFormat="1" ht="20" customHeight="1" x14ac:dyDescent="0.15">
      <c r="A33" s="8" t="s">
        <v>290</v>
      </c>
      <c r="B33" s="278">
        <f>_xlfn.XLOOKUP(A33,'Target ปี 2026'!B:B,'Target ปี 2026'!C:C,0,0)</f>
        <v>500000</v>
      </c>
      <c r="C33" s="278">
        <f>_xlfn.XLOOKUP(A33,ยอดขายปัจจุบัน!B:B,ยอดขายปัจจุบัน!D:D,0,0)</f>
        <v>633447</v>
      </c>
      <c r="D33" s="279">
        <f t="shared" si="0"/>
        <v>592006.54205607472</v>
      </c>
      <c r="E33" s="280">
        <f t="shared" si="1"/>
        <v>1.1840130841121494</v>
      </c>
      <c r="F33" s="278">
        <f>_xlfn.XLOOKUP(A33,ยอดขายปีที่แล้ว!B:B,ยอดขายปีที่แล้ว!D:D,0,0)</f>
        <v>483518.38999999996</v>
      </c>
      <c r="G33" s="278">
        <f>_xlfn.XLOOKUP(A33,ยอดขายปัจจุบัน!B:B,ยอดขายปัจจุบัน!D:D,0,0)</f>
        <v>633447</v>
      </c>
      <c r="H33" s="281">
        <f t="shared" si="2"/>
        <v>149928.61000000004</v>
      </c>
      <c r="I33" s="282">
        <f t="shared" si="3"/>
        <v>0.31007840260222586</v>
      </c>
    </row>
    <row r="34" spans="1:9" s="271" customFormat="1" ht="20" customHeight="1" x14ac:dyDescent="0.15">
      <c r="A34" s="272" t="s">
        <v>261</v>
      </c>
      <c r="B34" s="284">
        <f>SUM(B20:B33)</f>
        <v>14020000</v>
      </c>
      <c r="C34" s="284">
        <f>_xlfn.XLOOKUP(A34,ยอดขายปัจจุบัน!B:B,ยอดขายปัจจุบัน!D:D,0,0)</f>
        <v>0</v>
      </c>
      <c r="D34" s="285">
        <f>SUM(D20:D33)</f>
        <v>13034645.373831773</v>
      </c>
      <c r="E34" s="286">
        <f t="shared" si="1"/>
        <v>0.92971792965989819</v>
      </c>
      <c r="F34" s="284">
        <f>SUM(F20:F33)</f>
        <v>11216731.5</v>
      </c>
      <c r="G34" s="284">
        <f>SUM(G20:G33)</f>
        <v>13947070.550000001</v>
      </c>
      <c r="H34" s="284">
        <f t="shared" si="2"/>
        <v>2730339.0500000007</v>
      </c>
      <c r="I34" s="287">
        <f t="shared" si="3"/>
        <v>0.24341663612078088</v>
      </c>
    </row>
    <row r="35" spans="1:9" s="271" customFormat="1" ht="20" customHeight="1" x14ac:dyDescent="0.15">
      <c r="A35" s="8"/>
      <c r="B35" s="278"/>
      <c r="C35" s="278">
        <f>_xlfn.XLOOKUP(A35,ยอดขายปัจจุบัน!B:B,ยอดขายปัจจุบัน!D:D,0,0)</f>
        <v>0</v>
      </c>
      <c r="D35" s="279"/>
      <c r="E35" s="280"/>
      <c r="F35" s="278"/>
      <c r="G35" s="278"/>
      <c r="H35" s="281"/>
      <c r="I35" s="282"/>
    </row>
    <row r="36" spans="1:9" s="271" customFormat="1" ht="20" customHeight="1" x14ac:dyDescent="0.15">
      <c r="A36" s="274" t="s">
        <v>266</v>
      </c>
      <c r="B36" s="275"/>
      <c r="C36" s="275">
        <f>_xlfn.XLOOKUP(A36,ยอดขายปัจจุบัน!B:B,ยอดขายปัจจุบัน!D:D,0,0)</f>
        <v>0</v>
      </c>
      <c r="D36" s="288"/>
      <c r="E36" s="289"/>
      <c r="F36" s="275"/>
      <c r="G36" s="275"/>
      <c r="H36" s="290"/>
      <c r="I36" s="291"/>
    </row>
    <row r="37" spans="1:9" s="271" customFormat="1" ht="20" customHeight="1" x14ac:dyDescent="0.15">
      <c r="A37" s="8" t="s">
        <v>2</v>
      </c>
      <c r="B37" s="278">
        <f>_xlfn.XLOOKUP(A37,'Target ปี 2026'!B:B,'Target ปี 2026'!C:C,0,0)</f>
        <v>1800000</v>
      </c>
      <c r="C37" s="278">
        <f>_xlfn.XLOOKUP(A37,ยอดขายปัจจุบัน!B:B,ยอดขายปัจจุบัน!D:D,0,0)</f>
        <v>1799497.93</v>
      </c>
      <c r="D37" s="279">
        <f t="shared" si="0"/>
        <v>1681773.7663551401</v>
      </c>
      <c r="E37" s="280">
        <f t="shared" si="1"/>
        <v>0.934318759086189</v>
      </c>
      <c r="F37" s="278">
        <f>_xlfn.XLOOKUP(A37,ยอดขายปีที่แล้ว!B:B,ยอดขายปีที่แล้ว!D:D,0,0)</f>
        <v>1687356.5</v>
      </c>
      <c r="G37" s="278">
        <f>_xlfn.XLOOKUP(A37,ยอดขายปัจจุบัน!B:B,ยอดขายปัจจุบัน!D:D,0,0)</f>
        <v>1799497.93</v>
      </c>
      <c r="H37" s="281">
        <f t="shared" si="2"/>
        <v>112141.42999999993</v>
      </c>
      <c r="I37" s="282">
        <f t="shared" si="3"/>
        <v>6.6459832287960444E-2</v>
      </c>
    </row>
    <row r="38" spans="1:9" s="271" customFormat="1" ht="20" customHeight="1" x14ac:dyDescent="0.15">
      <c r="A38" s="8" t="s">
        <v>172</v>
      </c>
      <c r="B38" s="278">
        <f>_xlfn.XLOOKUP(A38,'Target ปี 2026'!B:B,'Target ปี 2026'!C:C,0,0)</f>
        <v>1300000</v>
      </c>
      <c r="C38" s="278">
        <f>_xlfn.XLOOKUP(A38,ยอดขายปัจจุบัน!B:B,ยอดขายปัจจุบัน!D:D,0,0)</f>
        <v>1668654</v>
      </c>
      <c r="D38" s="279">
        <f t="shared" si="0"/>
        <v>1559489.7196261683</v>
      </c>
      <c r="E38" s="280">
        <f t="shared" si="1"/>
        <v>1.199607476635514</v>
      </c>
      <c r="F38" s="278">
        <f>_xlfn.XLOOKUP(A38,ยอดขายปีที่แล้ว!B:B,ยอดขายปีที่แล้ว!D:D,0,0)</f>
        <v>1122575.8999999999</v>
      </c>
      <c r="G38" s="278">
        <f>_xlfn.XLOOKUP(A38,ยอดขายปัจจุบัน!B:B,ยอดขายปัจจุบัน!D:D,0,0)</f>
        <v>1668654</v>
      </c>
      <c r="H38" s="281">
        <f t="shared" si="2"/>
        <v>546078.10000000009</v>
      </c>
      <c r="I38" s="282">
        <f t="shared" si="3"/>
        <v>0.48645093841761627</v>
      </c>
    </row>
    <row r="39" spans="1:9" s="271" customFormat="1" ht="20" customHeight="1" x14ac:dyDescent="0.15">
      <c r="A39" s="8" t="s">
        <v>1</v>
      </c>
      <c r="B39" s="278">
        <f>_xlfn.XLOOKUP(A39,'Target ปี 2026'!B:B,'Target ปี 2026'!C:C,0,0)</f>
        <v>950000</v>
      </c>
      <c r="C39" s="278">
        <f>_xlfn.XLOOKUP(A39,ยอดขายปัจจุบัน!B:B,ยอดขายปัจจุบัน!D:D,0,0)</f>
        <v>973986.2</v>
      </c>
      <c r="D39" s="279">
        <f t="shared" si="0"/>
        <v>910267.47663551406</v>
      </c>
      <c r="E39" s="280">
        <f t="shared" si="1"/>
        <v>0.95817629119527792</v>
      </c>
      <c r="F39" s="278">
        <f>_xlfn.XLOOKUP(A39,ยอดขายปีที่แล้ว!B:B,ยอดขายปีที่แล้ว!D:D,0,0)</f>
        <v>872143.25</v>
      </c>
      <c r="G39" s="278">
        <f>_xlfn.XLOOKUP(A39,ยอดขายปัจจุบัน!B:B,ยอดขายปัจจุบัน!D:D,0,0)</f>
        <v>973986.2</v>
      </c>
      <c r="H39" s="281">
        <f t="shared" si="2"/>
        <v>101842.94999999995</v>
      </c>
      <c r="I39" s="282">
        <f t="shared" si="3"/>
        <v>0.11677319064270686</v>
      </c>
    </row>
    <row r="40" spans="1:9" s="271" customFormat="1" ht="20" customHeight="1" x14ac:dyDescent="0.15">
      <c r="A40" s="8" t="s">
        <v>5</v>
      </c>
      <c r="B40" s="278">
        <f>_xlfn.XLOOKUP(A40,'Target ปี 2026'!B:B,'Target ปี 2026'!C:C,0,0)</f>
        <v>950000</v>
      </c>
      <c r="C40" s="278">
        <f>_xlfn.XLOOKUP(A40,ยอดขายปัจจุบัน!B:B,ยอดขายปัจจุบัน!D:D,0,0)</f>
        <v>1101680</v>
      </c>
      <c r="D40" s="279">
        <f t="shared" si="0"/>
        <v>1029607.4766355141</v>
      </c>
      <c r="E40" s="280">
        <f t="shared" si="1"/>
        <v>1.0837973438268569</v>
      </c>
      <c r="F40" s="278">
        <f>_xlfn.XLOOKUP(A40,ยอดขายปีที่แล้ว!B:B,ยอดขายปีที่แล้ว!D:D,0,0)</f>
        <v>844419</v>
      </c>
      <c r="G40" s="278">
        <f>_xlfn.XLOOKUP(A40,ยอดขายปัจจุบัน!B:B,ยอดขายปัจจุบัน!D:D,0,0)</f>
        <v>1101680</v>
      </c>
      <c r="H40" s="281">
        <f t="shared" si="2"/>
        <v>257261</v>
      </c>
      <c r="I40" s="282">
        <f t="shared" si="3"/>
        <v>0.30466036410833958</v>
      </c>
    </row>
    <row r="41" spans="1:9" s="271" customFormat="1" ht="20" customHeight="1" x14ac:dyDescent="0.15">
      <c r="A41" s="8" t="s">
        <v>156</v>
      </c>
      <c r="B41" s="278">
        <f>_xlfn.XLOOKUP(A41,'Target ปี 2026'!B:B,'Target ปี 2026'!C:C,0,0)</f>
        <v>600000</v>
      </c>
      <c r="C41" s="278">
        <f>_xlfn.XLOOKUP(A41,ยอดขายปัจจุบัน!B:B,ยอดขายปัจจุบัน!D:D,0,0)</f>
        <v>605028</v>
      </c>
      <c r="D41" s="279">
        <f t="shared" si="0"/>
        <v>565446.72897196258</v>
      </c>
      <c r="E41" s="280">
        <f t="shared" si="1"/>
        <v>0.94241121495327096</v>
      </c>
      <c r="F41" s="278">
        <f>_xlfn.XLOOKUP(A41,ยอดขายปีที่แล้ว!B:B,ยอดขายปีที่แล้ว!D:D,0,0)</f>
        <v>474366</v>
      </c>
      <c r="G41" s="278">
        <f>_xlfn.XLOOKUP(A41,ยอดขายปัจจุบัน!B:B,ยอดขายปัจจุบัน!D:D,0,0)</f>
        <v>605028</v>
      </c>
      <c r="H41" s="281">
        <f t="shared" si="2"/>
        <v>130662</v>
      </c>
      <c r="I41" s="282">
        <f t="shared" si="3"/>
        <v>0.27544554204980964</v>
      </c>
    </row>
    <row r="42" spans="1:9" s="271" customFormat="1" ht="20" customHeight="1" x14ac:dyDescent="0.15">
      <c r="A42" s="8" t="s">
        <v>208</v>
      </c>
      <c r="B42" s="278">
        <f>_xlfn.XLOOKUP(A42,'Target ปี 2026'!B:B,'Target ปี 2026'!C:C,0,0)</f>
        <v>1000000</v>
      </c>
      <c r="C42" s="278">
        <f>_xlfn.XLOOKUP(A42,ยอดขายปัจจุบัน!B:B,ยอดขายปัจจุบัน!D:D,0,0)</f>
        <v>1329973</v>
      </c>
      <c r="D42" s="279">
        <f t="shared" si="0"/>
        <v>1242965.4205607476</v>
      </c>
      <c r="E42" s="280">
        <f t="shared" si="1"/>
        <v>1.2429654205607477</v>
      </c>
      <c r="F42" s="278">
        <f>_xlfn.XLOOKUP(A42,ยอดขายปีที่แล้ว!B:B,ยอดขายปีที่แล้ว!D:D,0,0)</f>
        <v>929701</v>
      </c>
      <c r="G42" s="278">
        <f>_xlfn.XLOOKUP(A42,ยอดขายปัจจุบัน!B:B,ยอดขายปัจจุบัน!D:D,0,0)</f>
        <v>1329973</v>
      </c>
      <c r="H42" s="281">
        <f t="shared" si="2"/>
        <v>400272</v>
      </c>
      <c r="I42" s="282">
        <f t="shared" si="3"/>
        <v>0.43053842041688672</v>
      </c>
    </row>
    <row r="43" spans="1:9" s="271" customFormat="1" ht="20" customHeight="1" x14ac:dyDescent="0.15">
      <c r="A43" s="8" t="s">
        <v>174</v>
      </c>
      <c r="B43" s="278">
        <f>_xlfn.XLOOKUP(A43,'Target ปี 2026'!B:B,'Target ปี 2026'!C:C,0,0)</f>
        <v>1200000</v>
      </c>
      <c r="C43" s="278">
        <f>_xlfn.XLOOKUP(A43,ยอดขายปัจจุบัน!B:B,ยอดขายปัจจุบัน!D:D,0,0)</f>
        <v>1355399</v>
      </c>
      <c r="D43" s="279">
        <f t="shared" si="0"/>
        <v>1266728.0373831776</v>
      </c>
      <c r="E43" s="280">
        <f t="shared" si="1"/>
        <v>1.0556066978193146</v>
      </c>
      <c r="F43" s="278">
        <f>_xlfn.XLOOKUP(A43,ยอดขายปีที่แล้ว!B:B,ยอดขายปีที่แล้ว!D:D,0,0)</f>
        <v>1041163</v>
      </c>
      <c r="G43" s="278">
        <f>_xlfn.XLOOKUP(A43,ยอดขายปัจจุบัน!B:B,ยอดขายปัจจุบัน!D:D,0,0)</f>
        <v>1355399</v>
      </c>
      <c r="H43" s="281">
        <f t="shared" si="2"/>
        <v>314236</v>
      </c>
      <c r="I43" s="282">
        <f t="shared" si="3"/>
        <v>0.3018124923763138</v>
      </c>
    </row>
    <row r="44" spans="1:9" s="271" customFormat="1" ht="20" customHeight="1" x14ac:dyDescent="0.15">
      <c r="A44" s="8" t="s">
        <v>44</v>
      </c>
      <c r="B44" s="278">
        <f>_xlfn.XLOOKUP(A44,'Target ปี 2026'!B:B,'Target ปี 2026'!C:C,0,0)</f>
        <v>400000</v>
      </c>
      <c r="C44" s="278">
        <f>_xlfn.XLOOKUP(A44,ยอดขายปัจจุบัน!B:B,ยอดขายปัจจุบัน!D:D,0,0)</f>
        <v>455833.5</v>
      </c>
      <c r="D44" s="279">
        <f t="shared" si="0"/>
        <v>426012.61682242993</v>
      </c>
      <c r="E44" s="280">
        <f t="shared" si="1"/>
        <v>1.0650315420560748</v>
      </c>
      <c r="F44" s="278">
        <f>_xlfn.XLOOKUP(A44,ยอดขายปีที่แล้ว!B:B,ยอดขายปีที่แล้ว!D:D,0,0)</f>
        <v>800460</v>
      </c>
      <c r="G44" s="278">
        <f>_xlfn.XLOOKUP(A44,ยอดขายปัจจุบัน!B:B,ยอดขายปัจจุบัน!D:D,0,0)</f>
        <v>455833.5</v>
      </c>
      <c r="H44" s="281">
        <f t="shared" si="2"/>
        <v>-344626.5</v>
      </c>
      <c r="I44" s="282">
        <f t="shared" si="3"/>
        <v>-0.43053556704894685</v>
      </c>
    </row>
    <row r="45" spans="1:9" s="271" customFormat="1" ht="20" customHeight="1" x14ac:dyDescent="0.15">
      <c r="A45" s="8" t="s">
        <v>138</v>
      </c>
      <c r="B45" s="278">
        <f>_xlfn.XLOOKUP(A45,'Target ปี 2026'!B:B,'Target ปี 2026'!C:C,0,0)</f>
        <v>750000</v>
      </c>
      <c r="C45" s="278">
        <f>_xlfn.XLOOKUP(A45,ยอดขายปัจจุบัน!B:B,ยอดขายปัจจุบัน!D:D,0,0)</f>
        <v>784810.5</v>
      </c>
      <c r="D45" s="279">
        <f t="shared" si="0"/>
        <v>733467.75700934581</v>
      </c>
      <c r="E45" s="280">
        <f t="shared" si="1"/>
        <v>0.97795700934579444</v>
      </c>
      <c r="F45" s="278">
        <f>_xlfn.XLOOKUP(A45,ยอดขายปีที่แล้ว!B:B,ยอดขายปีที่แล้ว!D:D,0,0)</f>
        <v>661468</v>
      </c>
      <c r="G45" s="278">
        <f>_xlfn.XLOOKUP(A45,ยอดขายปัจจุบัน!B:B,ยอดขายปัจจุบัน!D:D,0,0)</f>
        <v>784810.5</v>
      </c>
      <c r="H45" s="281">
        <f t="shared" si="2"/>
        <v>123342.5</v>
      </c>
      <c r="I45" s="282">
        <f t="shared" si="3"/>
        <v>0.18646782610799012</v>
      </c>
    </row>
    <row r="46" spans="1:9" s="271" customFormat="1" ht="20" customHeight="1" x14ac:dyDescent="0.15">
      <c r="A46" s="8" t="s">
        <v>158</v>
      </c>
      <c r="B46" s="278">
        <f>_xlfn.XLOOKUP(A46,'Target ปี 2026'!B:B,'Target ปี 2026'!C:C,0,0)</f>
        <v>500000</v>
      </c>
      <c r="C46" s="278">
        <f>_xlfn.XLOOKUP(A46,ยอดขายปัจจุบัน!B:B,ยอดขายปัจจุบัน!D:D,0,0)</f>
        <v>610704.5</v>
      </c>
      <c r="D46" s="279">
        <f t="shared" si="0"/>
        <v>570751.86915887846</v>
      </c>
      <c r="E46" s="280">
        <f t="shared" si="1"/>
        <v>1.1415037383177569</v>
      </c>
      <c r="F46" s="278">
        <f>_xlfn.XLOOKUP(A46,ยอดขายปีที่แล้ว!B:B,ยอดขายปีที่แล้ว!D:D,0,0)</f>
        <v>374592</v>
      </c>
      <c r="G46" s="278">
        <f>_xlfn.XLOOKUP(A46,ยอดขายปัจจุบัน!B:B,ยอดขายปัจจุบัน!D:D,0,0)</f>
        <v>610704.5</v>
      </c>
      <c r="H46" s="281">
        <f t="shared" si="2"/>
        <v>236112.5</v>
      </c>
      <c r="I46" s="282">
        <f t="shared" si="3"/>
        <v>0.63031912053647698</v>
      </c>
    </row>
    <row r="47" spans="1:9" s="271" customFormat="1" ht="20" customHeight="1" x14ac:dyDescent="0.15">
      <c r="A47" s="8" t="s">
        <v>46</v>
      </c>
      <c r="B47" s="278">
        <f>_xlfn.XLOOKUP(A47,'Target ปี 2026'!B:B,'Target ปี 2026'!C:C,0,0)</f>
        <v>1000000</v>
      </c>
      <c r="C47" s="278">
        <f>_xlfn.XLOOKUP(A47,ยอดขายปัจจุบัน!B:B,ยอดขายปัจจุบัน!D:D,0,0)</f>
        <v>1029033.5</v>
      </c>
      <c r="D47" s="279">
        <f t="shared" si="0"/>
        <v>961713.55140186916</v>
      </c>
      <c r="E47" s="280">
        <f t="shared" si="1"/>
        <v>0.9617135514018692</v>
      </c>
      <c r="F47" s="278">
        <f>_xlfn.XLOOKUP(A47,ยอดขายปีที่แล้ว!B:B,ยอดขายปีที่แล้ว!D:D,0,0)</f>
        <v>463178</v>
      </c>
      <c r="G47" s="278">
        <f>_xlfn.XLOOKUP(A47,ยอดขายปัจจุบัน!B:B,ยอดขายปัจจุบัน!D:D,0,0)</f>
        <v>1029033.5</v>
      </c>
      <c r="H47" s="281">
        <f t="shared" si="2"/>
        <v>565855.5</v>
      </c>
      <c r="I47" s="282">
        <f t="shared" si="3"/>
        <v>1.221680433872075</v>
      </c>
    </row>
    <row r="48" spans="1:9" s="271" customFormat="1" ht="20" customHeight="1" x14ac:dyDescent="0.15">
      <c r="A48" s="8" t="s">
        <v>111</v>
      </c>
      <c r="B48" s="278">
        <f>_xlfn.XLOOKUP(A48,'Target ปี 2026'!B:B,'Target ปี 2026'!C:C,0,0)</f>
        <v>1800000</v>
      </c>
      <c r="C48" s="278">
        <f>_xlfn.XLOOKUP(A48,ยอดขายปัจจุบัน!B:B,ยอดขายปัจจุบัน!D:D,0,0)</f>
        <v>1737483.5</v>
      </c>
      <c r="D48" s="279">
        <f t="shared" si="0"/>
        <v>1623816.3551401868</v>
      </c>
      <c r="E48" s="280">
        <f t="shared" si="1"/>
        <v>0.90212019730010384</v>
      </c>
      <c r="F48" s="278">
        <f>_xlfn.XLOOKUP(A48,ยอดขายปีที่แล้ว!B:B,ยอดขายปีที่แล้ว!D:D,0,0)</f>
        <v>867796</v>
      </c>
      <c r="G48" s="278">
        <f>_xlfn.XLOOKUP(A48,ยอดขายปัจจุบัน!B:B,ยอดขายปัจจุบัน!D:D,0,0)</f>
        <v>1737483.5</v>
      </c>
      <c r="H48" s="281">
        <f t="shared" si="2"/>
        <v>869687.5</v>
      </c>
      <c r="I48" s="282">
        <f t="shared" si="3"/>
        <v>1.0021796597356982</v>
      </c>
    </row>
    <row r="49" spans="1:9" s="271" customFormat="1" ht="20" customHeight="1" x14ac:dyDescent="0.15">
      <c r="A49" s="8" t="s">
        <v>45</v>
      </c>
      <c r="B49" s="278">
        <f>_xlfn.XLOOKUP(A49,'Target ปี 2026'!B:B,'Target ปี 2026'!C:C,0,0)</f>
        <v>1200000</v>
      </c>
      <c r="C49" s="278">
        <f>_xlfn.XLOOKUP(A49,ยอดขายปัจจุบัน!B:B,ยอดขายปัจจุบัน!D:D,0,0)</f>
        <v>1159000.5</v>
      </c>
      <c r="D49" s="279">
        <f t="shared" si="0"/>
        <v>1083178.0373831776</v>
      </c>
      <c r="E49" s="280">
        <f t="shared" si="1"/>
        <v>0.90264836448598129</v>
      </c>
      <c r="F49" s="278">
        <f>_xlfn.XLOOKUP(A49,ยอดขายปีที่แล้ว!B:B,ยอดขายปีที่แล้ว!D:D,0,0)</f>
        <v>914076</v>
      </c>
      <c r="G49" s="278">
        <f>_xlfn.XLOOKUP(A49,ยอดขายปัจจุบัน!B:B,ยอดขายปัจจุบัน!D:D,0,0)</f>
        <v>1159000.5</v>
      </c>
      <c r="H49" s="281">
        <f t="shared" si="2"/>
        <v>244924.5</v>
      </c>
      <c r="I49" s="282">
        <f t="shared" si="3"/>
        <v>0.26794763236317332</v>
      </c>
    </row>
    <row r="50" spans="1:9" s="271" customFormat="1" ht="20" customHeight="1" x14ac:dyDescent="0.15">
      <c r="A50" s="8" t="s">
        <v>246</v>
      </c>
      <c r="B50" s="278">
        <f>_xlfn.XLOOKUP(A50,'Target ปี 2026'!B:B,'Target ปี 2026'!C:C,0,0)</f>
        <v>1000000</v>
      </c>
      <c r="C50" s="278">
        <f>_xlfn.XLOOKUP(A50,ยอดขายปัจจุบัน!B:B,ยอดขายปัจจุบัน!D:D,0,0)</f>
        <v>1221787.5</v>
      </c>
      <c r="D50" s="279">
        <f t="shared" si="0"/>
        <v>1141857.4766355141</v>
      </c>
      <c r="E50" s="280">
        <f t="shared" si="1"/>
        <v>1.1418574766355141</v>
      </c>
      <c r="F50" s="278">
        <f>_xlfn.XLOOKUP(A50,ยอดขายปีที่แล้ว!B:B,ยอดขายปีที่แล้ว!D:D,0,0)</f>
        <v>952367.5</v>
      </c>
      <c r="G50" s="278">
        <f>_xlfn.XLOOKUP(A50,ยอดขายปัจจุบัน!B:B,ยอดขายปัจจุบัน!D:D,0,0)</f>
        <v>1221787.5</v>
      </c>
      <c r="H50" s="281">
        <f t="shared" si="2"/>
        <v>269420</v>
      </c>
      <c r="I50" s="282">
        <f t="shared" si="3"/>
        <v>0.28289499589181699</v>
      </c>
    </row>
    <row r="51" spans="1:9" s="271" customFormat="1" ht="20" customHeight="1" x14ac:dyDescent="0.15">
      <c r="A51" s="272" t="s">
        <v>261</v>
      </c>
      <c r="B51" s="284">
        <f>SUM(B37:B50)</f>
        <v>14450000</v>
      </c>
      <c r="C51" s="284">
        <f>_xlfn.XLOOKUP(A51,ยอดขายปัจจุบัน!B:B,ยอดขายปัจจุบัน!D:D,0,0)</f>
        <v>0</v>
      </c>
      <c r="D51" s="285">
        <f>SUM(D37:D50)</f>
        <v>14797076.289719626</v>
      </c>
      <c r="E51" s="286">
        <f t="shared" si="1"/>
        <v>1.024019120395822</v>
      </c>
      <c r="F51" s="284">
        <f>SUM(F37:F50)</f>
        <v>12005662.15</v>
      </c>
      <c r="G51" s="284">
        <f>SUM(G37:G50)</f>
        <v>15832871.629999999</v>
      </c>
      <c r="H51" s="284">
        <f t="shared" si="2"/>
        <v>3827209.4799999986</v>
      </c>
      <c r="I51" s="287">
        <f t="shared" si="3"/>
        <v>0.31878370656965377</v>
      </c>
    </row>
    <row r="52" spans="1:9" s="271" customFormat="1" ht="20" customHeight="1" x14ac:dyDescent="0.15">
      <c r="A52" s="8"/>
      <c r="B52" s="278"/>
      <c r="C52" s="278">
        <f>_xlfn.XLOOKUP(A52,ยอดขายปัจจุบัน!B:B,ยอดขายปัจจุบัน!D:D,0,0)</f>
        <v>0</v>
      </c>
      <c r="D52" s="279"/>
      <c r="E52" s="280"/>
      <c r="F52" s="278"/>
      <c r="G52" s="278"/>
      <c r="H52" s="281"/>
      <c r="I52" s="282"/>
    </row>
    <row r="53" spans="1:9" s="271" customFormat="1" ht="20" customHeight="1" x14ac:dyDescent="0.15">
      <c r="A53" s="274" t="s">
        <v>268</v>
      </c>
      <c r="B53" s="275"/>
      <c r="C53" s="275">
        <f>_xlfn.XLOOKUP(A53,ยอดขายปัจจุบัน!B:B,ยอดขายปัจจุบัน!D:D,0,0)</f>
        <v>0</v>
      </c>
      <c r="D53" s="288"/>
      <c r="E53" s="289"/>
      <c r="F53" s="275"/>
      <c r="G53" s="275"/>
      <c r="H53" s="290"/>
      <c r="I53" s="291"/>
    </row>
    <row r="54" spans="1:9" s="271" customFormat="1" ht="20" customHeight="1" x14ac:dyDescent="0.15">
      <c r="A54" s="8" t="s">
        <v>134</v>
      </c>
      <c r="B54" s="278">
        <f>_xlfn.XLOOKUP(A54,'Target ปี 2026'!B:B,'Target ปี 2026'!C:C,0,0)</f>
        <v>850000</v>
      </c>
      <c r="C54" s="278">
        <f>_xlfn.XLOOKUP(A54,ยอดขายปัจจุบัน!B:B,ยอดขายปัจจุบัน!D:D,0,0)</f>
        <v>895200.92999999993</v>
      </c>
      <c r="D54" s="279">
        <f t="shared" si="0"/>
        <v>836636.38317757007</v>
      </c>
      <c r="E54" s="280">
        <f t="shared" si="1"/>
        <v>0.98427809785596476</v>
      </c>
      <c r="F54" s="278">
        <f>_xlfn.XLOOKUP(A54,ยอดขายปีที่แล้ว!B:B,ยอดขายปีที่แล้ว!D:D,0,0)</f>
        <v>864823.5</v>
      </c>
      <c r="G54" s="278">
        <f>_xlfn.XLOOKUP(A54,ยอดขายปัจจุบัน!B:B,ยอดขายปัจจุบัน!D:D,0,0)</f>
        <v>895200.92999999993</v>
      </c>
      <c r="H54" s="281">
        <f t="shared" si="2"/>
        <v>30377.429999999935</v>
      </c>
      <c r="I54" s="282">
        <f t="shared" si="3"/>
        <v>3.5125583428294832E-2</v>
      </c>
    </row>
    <row r="55" spans="1:9" s="271" customFormat="1" ht="20" customHeight="1" x14ac:dyDescent="0.15">
      <c r="A55" s="8" t="s">
        <v>132</v>
      </c>
      <c r="B55" s="278">
        <f>_xlfn.XLOOKUP(A55,'Target ปี 2026'!B:B,'Target ปี 2026'!C:C,0,0)</f>
        <v>900000</v>
      </c>
      <c r="C55" s="278">
        <f>_xlfn.XLOOKUP(A55,ยอดขายปัจจุบัน!B:B,ยอดขายปัจจุบัน!D:D,0,0)</f>
        <v>982007.5</v>
      </c>
      <c r="D55" s="279">
        <f t="shared" si="0"/>
        <v>917764.01869158878</v>
      </c>
      <c r="E55" s="280">
        <f t="shared" si="1"/>
        <v>1.0197377985462097</v>
      </c>
      <c r="F55" s="278">
        <f>_xlfn.XLOOKUP(A55,ยอดขายปีที่แล้ว!B:B,ยอดขายปีที่แล้ว!D:D,0,0)</f>
        <v>881171</v>
      </c>
      <c r="G55" s="278">
        <f>_xlfn.XLOOKUP(A55,ยอดขายปัจจุบัน!B:B,ยอดขายปัจจุบัน!D:D,0,0)</f>
        <v>982007.5</v>
      </c>
      <c r="H55" s="281">
        <f t="shared" si="2"/>
        <v>100836.5</v>
      </c>
      <c r="I55" s="282">
        <f t="shared" si="3"/>
        <v>0.11443465570246865</v>
      </c>
    </row>
    <row r="56" spans="1:9" s="271" customFormat="1" ht="20" customHeight="1" x14ac:dyDescent="0.15">
      <c r="A56" s="8" t="s">
        <v>121</v>
      </c>
      <c r="B56" s="278">
        <f>_xlfn.XLOOKUP(A56,'Target ปี 2026'!B:B,'Target ปี 2026'!C:C,0,0)</f>
        <v>900000</v>
      </c>
      <c r="C56" s="278">
        <f>_xlfn.XLOOKUP(A56,ยอดขายปัจจุบัน!B:B,ยอดขายปัจจุบัน!D:D,0,0)</f>
        <v>953389.5</v>
      </c>
      <c r="D56" s="279">
        <f t="shared" si="0"/>
        <v>891018.22429906542</v>
      </c>
      <c r="E56" s="280">
        <f t="shared" si="1"/>
        <v>0.99002024922118381</v>
      </c>
      <c r="F56" s="278">
        <f>_xlfn.XLOOKUP(A56,ยอดขายปีที่แล้ว!B:B,ยอดขายปีที่แล้ว!D:D,0,0)</f>
        <v>808176.7</v>
      </c>
      <c r="G56" s="278">
        <f>_xlfn.XLOOKUP(A56,ยอดขายปัจจุบัน!B:B,ยอดขายปัจจุบัน!D:D,0,0)</f>
        <v>953389.5</v>
      </c>
      <c r="H56" s="281">
        <f t="shared" si="2"/>
        <v>145212.80000000005</v>
      </c>
      <c r="I56" s="282">
        <f t="shared" si="3"/>
        <v>0.17967951810538468</v>
      </c>
    </row>
    <row r="57" spans="1:9" s="271" customFormat="1" ht="20" customHeight="1" x14ac:dyDescent="0.15">
      <c r="A57" s="8" t="s">
        <v>129</v>
      </c>
      <c r="B57" s="278">
        <f>_xlfn.XLOOKUP(A57,'Target ปี 2026'!B:B,'Target ปี 2026'!C:C,0,0)</f>
        <v>850000</v>
      </c>
      <c r="C57" s="278">
        <f>_xlfn.XLOOKUP(A57,ยอดขายปัจจุบัน!B:B,ยอดขายปัจจุบัน!D:D,0,0)</f>
        <v>811963</v>
      </c>
      <c r="D57" s="279">
        <f t="shared" si="0"/>
        <v>758843.9252336449</v>
      </c>
      <c r="E57" s="280">
        <f t="shared" si="1"/>
        <v>0.89275755909840582</v>
      </c>
      <c r="F57" s="278">
        <f>_xlfn.XLOOKUP(A57,ยอดขายปีที่แล้ว!B:B,ยอดขายปีที่แล้ว!D:D,0,0)</f>
        <v>743511</v>
      </c>
      <c r="G57" s="278">
        <f>_xlfn.XLOOKUP(A57,ยอดขายปัจจุบัน!B:B,ยอดขายปัจจุบัน!D:D,0,0)</f>
        <v>811963</v>
      </c>
      <c r="H57" s="281">
        <f t="shared" si="2"/>
        <v>68452</v>
      </c>
      <c r="I57" s="282">
        <f t="shared" si="3"/>
        <v>9.2065887391040616E-2</v>
      </c>
    </row>
    <row r="58" spans="1:9" s="271" customFormat="1" ht="20" customHeight="1" x14ac:dyDescent="0.15">
      <c r="A58" s="8" t="s">
        <v>109</v>
      </c>
      <c r="B58" s="278">
        <f>_xlfn.XLOOKUP(A58,'Target ปี 2026'!B:B,'Target ปี 2026'!C:C,0,0)</f>
        <v>1200000</v>
      </c>
      <c r="C58" s="278">
        <f>_xlfn.XLOOKUP(A58,ยอดขายปัจจุบัน!B:B,ยอดขายปัจจุบัน!D:D,0,0)</f>
        <v>1324828</v>
      </c>
      <c r="D58" s="279">
        <f t="shared" si="0"/>
        <v>1238157.0093457943</v>
      </c>
      <c r="E58" s="280">
        <f t="shared" si="1"/>
        <v>1.031797507788162</v>
      </c>
      <c r="F58" s="278">
        <f>_xlfn.XLOOKUP(A58,ยอดขายปีที่แล้ว!B:B,ยอดขายปีที่แล้ว!D:D,0,0)</f>
        <v>1142845</v>
      </c>
      <c r="G58" s="278">
        <f>_xlfn.XLOOKUP(A58,ยอดขายปัจจุบัน!B:B,ยอดขายปัจจุบัน!D:D,0,0)</f>
        <v>1324828</v>
      </c>
      <c r="H58" s="281">
        <f t="shared" si="2"/>
        <v>181983</v>
      </c>
      <c r="I58" s="282">
        <f t="shared" si="3"/>
        <v>0.15923681689117947</v>
      </c>
    </row>
    <row r="59" spans="1:9" s="271" customFormat="1" ht="20" customHeight="1" x14ac:dyDescent="0.15">
      <c r="A59" s="8" t="s">
        <v>143</v>
      </c>
      <c r="B59" s="278">
        <f>_xlfn.XLOOKUP(A59,'Target ปี 2026'!B:B,'Target ปี 2026'!C:C,0,0)</f>
        <v>800000</v>
      </c>
      <c r="C59" s="278">
        <f>_xlfn.XLOOKUP(A59,ยอดขายปัจจุบัน!B:B,ยอดขายปัจจุบัน!D:D,0,0)</f>
        <v>1050187</v>
      </c>
      <c r="D59" s="279">
        <f t="shared" si="0"/>
        <v>981483.17757009342</v>
      </c>
      <c r="E59" s="280">
        <f t="shared" si="1"/>
        <v>1.2268539719626168</v>
      </c>
      <c r="F59" s="278">
        <f>_xlfn.XLOOKUP(A59,ยอดขายปีที่แล้ว!B:B,ยอดขายปีที่แล้ว!D:D,0,0)</f>
        <v>724072</v>
      </c>
      <c r="G59" s="278">
        <f>_xlfn.XLOOKUP(A59,ยอดขายปัจจุบัน!B:B,ยอดขายปัจจุบัน!D:D,0,0)</f>
        <v>1050187</v>
      </c>
      <c r="H59" s="281">
        <f t="shared" si="2"/>
        <v>326115</v>
      </c>
      <c r="I59" s="282">
        <f t="shared" si="3"/>
        <v>0.45039029267807623</v>
      </c>
    </row>
    <row r="60" spans="1:9" s="271" customFormat="1" ht="20" customHeight="1" x14ac:dyDescent="0.15">
      <c r="A60" s="8" t="s">
        <v>127</v>
      </c>
      <c r="B60" s="278">
        <f>_xlfn.XLOOKUP(A60,'Target ปี 2026'!B:B,'Target ปี 2026'!C:C,0,0)</f>
        <v>700000</v>
      </c>
      <c r="C60" s="278">
        <f>_xlfn.XLOOKUP(A60,ยอดขายปัจจุบัน!B:B,ยอดขายปัจจุบัน!D:D,0,0)</f>
        <v>807767</v>
      </c>
      <c r="D60" s="279">
        <f t="shared" si="0"/>
        <v>754922.42990654206</v>
      </c>
      <c r="E60" s="280">
        <f t="shared" si="1"/>
        <v>1.0784606141522028</v>
      </c>
      <c r="F60" s="278">
        <f>_xlfn.XLOOKUP(A60,ยอดขายปีที่แล้ว!B:B,ยอดขายปีที่แล้ว!D:D,0,0)</f>
        <v>645269</v>
      </c>
      <c r="G60" s="278">
        <f>_xlfn.XLOOKUP(A60,ยอดขายปัจจุบัน!B:B,ยอดขายปัจจุบัน!D:D,0,0)</f>
        <v>807767</v>
      </c>
      <c r="H60" s="281">
        <f t="shared" si="2"/>
        <v>162498</v>
      </c>
      <c r="I60" s="282">
        <f t="shared" si="3"/>
        <v>0.25182985700537297</v>
      </c>
    </row>
    <row r="61" spans="1:9" s="271" customFormat="1" ht="20" customHeight="1" x14ac:dyDescent="0.15">
      <c r="A61" s="8" t="s">
        <v>100</v>
      </c>
      <c r="B61" s="278">
        <f>_xlfn.XLOOKUP(A61,'Target ปี 2026'!B:B,'Target ปี 2026'!C:C,0,0)</f>
        <v>1200000</v>
      </c>
      <c r="C61" s="278">
        <f>_xlfn.XLOOKUP(A61,ยอดขายปัจจุบัน!B:B,ยอดขายปัจจุบัน!D:D,0,0)</f>
        <v>1034170.58</v>
      </c>
      <c r="D61" s="279">
        <f t="shared" si="0"/>
        <v>966514.56074766361</v>
      </c>
      <c r="E61" s="280">
        <f t="shared" si="1"/>
        <v>0.805428800623053</v>
      </c>
      <c r="F61" s="278">
        <f>_xlfn.XLOOKUP(A61,ยอดขายปีที่แล้ว!B:B,ยอดขายปีที่แล้ว!D:D,0,0)</f>
        <v>1146033</v>
      </c>
      <c r="G61" s="278">
        <f>_xlfn.XLOOKUP(A61,ยอดขายปัจจุบัน!B:B,ยอดขายปัจจุบัน!D:D,0,0)</f>
        <v>1034170.58</v>
      </c>
      <c r="H61" s="281">
        <f t="shared" si="2"/>
        <v>-111862.42000000004</v>
      </c>
      <c r="I61" s="282">
        <f t="shared" si="3"/>
        <v>-9.7608376024076127E-2</v>
      </c>
    </row>
    <row r="62" spans="1:9" s="271" customFormat="1" ht="20" customHeight="1" x14ac:dyDescent="0.15">
      <c r="A62" s="8" t="s">
        <v>6</v>
      </c>
      <c r="B62" s="278">
        <f>_xlfn.XLOOKUP(A62,'Target ปี 2026'!B:B,'Target ปี 2026'!C:C,0,0)</f>
        <v>250000</v>
      </c>
      <c r="C62" s="278">
        <f>_xlfn.XLOOKUP(A62,ยอดขายปัจจุบัน!B:B,ยอดขายปัจจุบัน!D:D,0,0)</f>
        <v>208440</v>
      </c>
      <c r="D62" s="279">
        <f t="shared" si="0"/>
        <v>194803.738317757</v>
      </c>
      <c r="E62" s="280">
        <f t="shared" si="1"/>
        <v>0.77921495327102797</v>
      </c>
      <c r="F62" s="278">
        <f>_xlfn.XLOOKUP(A62,ยอดขายปีที่แล้ว!B:B,ยอดขายปีที่แล้ว!D:D,0,0)</f>
        <v>190313</v>
      </c>
      <c r="G62" s="278">
        <f>_xlfn.XLOOKUP(A62,ยอดขายปัจจุบัน!B:B,ยอดขายปัจจุบัน!D:D,0,0)</f>
        <v>208440</v>
      </c>
      <c r="H62" s="281">
        <f t="shared" si="2"/>
        <v>18127</v>
      </c>
      <c r="I62" s="282">
        <f t="shared" si="3"/>
        <v>9.5248354027312895E-2</v>
      </c>
    </row>
    <row r="63" spans="1:9" s="271" customFormat="1" ht="20" customHeight="1" x14ac:dyDescent="0.15">
      <c r="A63" s="8" t="s">
        <v>183</v>
      </c>
      <c r="B63" s="278">
        <f>_xlfn.XLOOKUP(A63,'Target ปี 2026'!B:B,'Target ปี 2026'!C:C,0,0)</f>
        <v>450000</v>
      </c>
      <c r="C63" s="278">
        <f>_xlfn.XLOOKUP(A63,ยอดขายปัจจุบัน!B:B,ยอดขายปัจจุบัน!D:D,0,0)</f>
        <v>565481</v>
      </c>
      <c r="D63" s="279">
        <f t="shared" si="0"/>
        <v>528486.91588785045</v>
      </c>
      <c r="E63" s="280">
        <f t="shared" si="1"/>
        <v>1.1744153686396677</v>
      </c>
      <c r="F63" s="278">
        <f>_xlfn.XLOOKUP(A63,ยอดขายปีที่แล้ว!B:B,ยอดขายปีที่แล้ว!D:D,0,0)</f>
        <v>402688</v>
      </c>
      <c r="G63" s="278">
        <f>_xlfn.XLOOKUP(A63,ยอดขายปัจจุบัน!B:B,ยอดขายปัจจุบัน!D:D,0,0)</f>
        <v>565481</v>
      </c>
      <c r="H63" s="281">
        <f t="shared" si="2"/>
        <v>162793</v>
      </c>
      <c r="I63" s="282">
        <f t="shared" si="3"/>
        <v>0.40426583359821994</v>
      </c>
    </row>
    <row r="64" spans="1:9" s="271" customFormat="1" ht="20" customHeight="1" x14ac:dyDescent="0.15">
      <c r="A64" s="8" t="s">
        <v>206</v>
      </c>
      <c r="B64" s="278">
        <f>_xlfn.XLOOKUP(A64,'Target ปี 2026'!B:B,'Target ปี 2026'!C:C,0,0)</f>
        <v>900000</v>
      </c>
      <c r="C64" s="278">
        <f>_xlfn.XLOOKUP(A64,ยอดขายปัจจุบัน!B:B,ยอดขายปัจจุบัน!D:D,0,0)</f>
        <v>1101673</v>
      </c>
      <c r="D64" s="279">
        <f t="shared" si="0"/>
        <v>1029600.9345794392</v>
      </c>
      <c r="E64" s="280">
        <f t="shared" si="1"/>
        <v>1.1440010384215991</v>
      </c>
      <c r="F64" s="278">
        <f>_xlfn.XLOOKUP(A64,ยอดขายปีที่แล้ว!B:B,ยอดขายปีที่แล้ว!D:D,0,0)</f>
        <v>795136</v>
      </c>
      <c r="G64" s="278">
        <f>_xlfn.XLOOKUP(A64,ยอดขายปัจจุบัน!B:B,ยอดขายปัจจุบัน!D:D,0,0)</f>
        <v>1101673</v>
      </c>
      <c r="H64" s="281">
        <f t="shared" si="2"/>
        <v>306537</v>
      </c>
      <c r="I64" s="282">
        <f t="shared" si="3"/>
        <v>0.38551518230843529</v>
      </c>
    </row>
    <row r="65" spans="1:9" s="271" customFormat="1" ht="20" customHeight="1" x14ac:dyDescent="0.15">
      <c r="A65" s="8" t="s">
        <v>243</v>
      </c>
      <c r="B65" s="278">
        <f>_xlfn.XLOOKUP(A65,'Target ปี 2026'!B:B,'Target ปี 2026'!C:C,0,0)</f>
        <v>550000</v>
      </c>
      <c r="C65" s="278">
        <f>_xlfn.XLOOKUP(A65,ยอดขายปัจจุบัน!B:B,ยอดขายปัจจุบัน!D:D,0,0)</f>
        <v>633531</v>
      </c>
      <c r="D65" s="279">
        <f t="shared" si="0"/>
        <v>592085.046728972</v>
      </c>
      <c r="E65" s="280">
        <f t="shared" si="1"/>
        <v>1.0765182667799491</v>
      </c>
      <c r="F65" s="278">
        <f>_xlfn.XLOOKUP(A65,ยอดขายปีที่แล้ว!B:B,ยอดขายปีที่แล้ว!D:D,0,0)</f>
        <v>492238.8</v>
      </c>
      <c r="G65" s="278">
        <f>_xlfn.XLOOKUP(A65,ยอดขายปัจจุบัน!B:B,ยอดขายปัจจุบัน!D:D,0,0)</f>
        <v>633531</v>
      </c>
      <c r="H65" s="281">
        <f t="shared" si="2"/>
        <v>141292.20000000001</v>
      </c>
      <c r="I65" s="282">
        <f t="shared" si="3"/>
        <v>0.28703994890284962</v>
      </c>
    </row>
    <row r="66" spans="1:9" s="271" customFormat="1" ht="20" customHeight="1" x14ac:dyDescent="0.15">
      <c r="A66" s="8" t="s">
        <v>306</v>
      </c>
      <c r="B66" s="278">
        <f>_xlfn.XLOOKUP(A66,'Target ปี 2026'!B:B,'Target ปี 2026'!C:C,0,0)</f>
        <v>800000</v>
      </c>
      <c r="C66" s="278">
        <f>_xlfn.XLOOKUP(A66,ยอดขายปัจจุบัน!B:B,ยอดขายปัจจุบัน!D:D,0,0)</f>
        <v>920696.51</v>
      </c>
      <c r="D66" s="279">
        <f t="shared" si="0"/>
        <v>860464.02803738322</v>
      </c>
      <c r="E66" s="280">
        <f t="shared" si="1"/>
        <v>1.0755800350467291</v>
      </c>
      <c r="F66" s="278">
        <f>_xlfn.XLOOKUP(A66,ยอดขายปีที่แล้ว!B:B,ยอดขายปีที่แล้ว!D:D,0,0)</f>
        <v>0</v>
      </c>
      <c r="G66" s="278">
        <f>_xlfn.XLOOKUP(A66,ยอดขายปัจจุบัน!B:B,ยอดขายปัจจุบัน!D:D,0,0)</f>
        <v>920696.51</v>
      </c>
      <c r="H66" s="281">
        <f t="shared" si="2"/>
        <v>920696.51</v>
      </c>
      <c r="I66" s="282" t="e">
        <f t="shared" si="3"/>
        <v>#DIV/0!</v>
      </c>
    </row>
    <row r="67" spans="1:9" s="271" customFormat="1" ht="20" customHeight="1" x14ac:dyDescent="0.15">
      <c r="A67" s="8" t="s">
        <v>252</v>
      </c>
      <c r="B67" s="278">
        <f>_xlfn.XLOOKUP(A67,'Target ปี 2026'!B:B,'Target ปี 2026'!C:C,0,0)</f>
        <v>1150000</v>
      </c>
      <c r="C67" s="278">
        <f>_xlfn.XLOOKUP(A67,ยอดขายปัจจุบัน!B:B,ยอดขายปัจจุบัน!D:D,0,0)</f>
        <v>1021046.26</v>
      </c>
      <c r="D67" s="279">
        <f t="shared" si="0"/>
        <v>954248.84112149535</v>
      </c>
      <c r="E67" s="280">
        <f t="shared" si="1"/>
        <v>0.82978160097521336</v>
      </c>
      <c r="F67" s="278">
        <f>_xlfn.XLOOKUP(A67,ยอดขายปีที่แล้ว!B:B,ยอดขายปีที่แล้ว!D:D,0,0)</f>
        <v>1108131.54</v>
      </c>
      <c r="G67" s="278">
        <f>_xlfn.XLOOKUP(A67,ยอดขายปัจจุบัน!B:B,ยอดขายปัจจุบัน!D:D,0,0)</f>
        <v>1021046.26</v>
      </c>
      <c r="H67" s="281">
        <f t="shared" si="2"/>
        <v>-87085.280000000028</v>
      </c>
      <c r="I67" s="282">
        <f t="shared" si="3"/>
        <v>-7.8587493322318056E-2</v>
      </c>
    </row>
    <row r="68" spans="1:9" s="271" customFormat="1" ht="20" customHeight="1" x14ac:dyDescent="0.15">
      <c r="A68" s="272" t="s">
        <v>261</v>
      </c>
      <c r="B68" s="284">
        <f>SUM(B54:B67)</f>
        <v>11500000</v>
      </c>
      <c r="C68" s="284">
        <f>_xlfn.XLOOKUP(A68,ยอดขายปัจจุบัน!B:B,ยอดขายปัจจุบัน!D:D,0,0)</f>
        <v>0</v>
      </c>
      <c r="D68" s="285">
        <f>SUM(D54:D67)</f>
        <v>11505029.233644858</v>
      </c>
      <c r="E68" s="286">
        <f t="shared" ref="E68:E83" si="4">D68/B68</f>
        <v>1.0004373246647702</v>
      </c>
      <c r="F68" s="284">
        <f>SUM(F54:F67)</f>
        <v>9944408.5399999991</v>
      </c>
      <c r="G68" s="284">
        <f>SUM(G54:G67)</f>
        <v>12310381.279999999</v>
      </c>
      <c r="H68" s="284">
        <f t="shared" ref="H68:H84" si="5">G68-F68</f>
        <v>2365972.7400000002</v>
      </c>
      <c r="I68" s="287">
        <f t="shared" ref="I68:I84" si="6">(G68-F68)/F68</f>
        <v>0.23791990549093034</v>
      </c>
    </row>
    <row r="69" spans="1:9" s="271" customFormat="1" ht="20" customHeight="1" x14ac:dyDescent="0.15">
      <c r="A69" s="8"/>
      <c r="B69" s="278"/>
      <c r="C69" s="278"/>
      <c r="D69" s="279"/>
      <c r="E69" s="280"/>
      <c r="F69" s="278"/>
      <c r="G69" s="278"/>
      <c r="H69" s="281"/>
      <c r="I69" s="292"/>
    </row>
    <row r="70" spans="1:9" s="271" customFormat="1" ht="20" customHeight="1" x14ac:dyDescent="0.15">
      <c r="A70" s="274" t="s">
        <v>344</v>
      </c>
      <c r="B70" s="275"/>
      <c r="C70" s="275"/>
      <c r="D70" s="288"/>
      <c r="E70" s="289"/>
      <c r="F70" s="275"/>
      <c r="G70" s="275"/>
      <c r="H70" s="290"/>
      <c r="I70" s="277"/>
    </row>
    <row r="71" spans="1:9" s="271" customFormat="1" ht="20" customHeight="1" x14ac:dyDescent="0.15">
      <c r="A71" s="8" t="s">
        <v>154</v>
      </c>
      <c r="B71" s="278">
        <f>_xlfn.XLOOKUP(A71,'Target ปี 2026'!B:B,'Target ปี 2026'!C:C,0,0)</f>
        <v>400000</v>
      </c>
      <c r="C71" s="278">
        <f>_xlfn.XLOOKUP(A71,ยอดขายปัจจุบัน!B:B,ยอดขายปัจจุบัน!D:D,0,0)</f>
        <v>626735.5</v>
      </c>
      <c r="D71" s="279">
        <f t="shared" ref="D71:D83" si="7">C71*100/107</f>
        <v>585734.11214953277</v>
      </c>
      <c r="E71" s="280">
        <f t="shared" si="4"/>
        <v>1.4643352803738319</v>
      </c>
      <c r="F71" s="278">
        <f>_xlfn.XLOOKUP(A71,ยอดขายปีที่แล้ว!B:B,ยอดขายปีที่แล้ว!D:D,0,0)</f>
        <v>362155</v>
      </c>
      <c r="G71" s="278">
        <f>_xlfn.XLOOKUP(A71,ยอดขายปัจจุบัน!B:B,ยอดขายปัจจุบัน!D:D,0,0)</f>
        <v>626735.5</v>
      </c>
      <c r="H71" s="281">
        <f t="shared" si="5"/>
        <v>264580.5</v>
      </c>
      <c r="I71" s="292">
        <f t="shared" si="6"/>
        <v>0.73057254490480594</v>
      </c>
    </row>
    <row r="72" spans="1:9" s="271" customFormat="1" ht="20" customHeight="1" x14ac:dyDescent="0.15">
      <c r="A72" s="8" t="s">
        <v>7</v>
      </c>
      <c r="B72" s="278">
        <f>_xlfn.XLOOKUP(A72,'Target ปี 2026'!B:B,'Target ปี 2026'!C:C,0,0)</f>
        <v>250000</v>
      </c>
      <c r="C72" s="278">
        <f>_xlfn.XLOOKUP(A72,ยอดขายปัจจุบัน!B:B,ยอดขายปัจจุบัน!D:D,0,0)</f>
        <v>188030</v>
      </c>
      <c r="D72" s="279">
        <f t="shared" si="7"/>
        <v>175728.97196261681</v>
      </c>
      <c r="E72" s="280">
        <f t="shared" si="4"/>
        <v>0.70291588785046721</v>
      </c>
      <c r="F72" s="278">
        <f>_xlfn.XLOOKUP(A72,ยอดขายปีที่แล้ว!B:B,ยอดขายปีที่แล้ว!D:D,0,0)</f>
        <v>184214</v>
      </c>
      <c r="G72" s="278">
        <f>_xlfn.XLOOKUP(A72,ยอดขายปัจจุบัน!B:B,ยอดขายปัจจุบัน!D:D,0,0)</f>
        <v>188030</v>
      </c>
      <c r="H72" s="281">
        <f t="shared" si="5"/>
        <v>3816</v>
      </c>
      <c r="I72" s="292">
        <f t="shared" si="6"/>
        <v>2.0715037944998752E-2</v>
      </c>
    </row>
    <row r="73" spans="1:9" s="271" customFormat="1" ht="20" customHeight="1" x14ac:dyDescent="0.15">
      <c r="A73" s="8" t="s">
        <v>130</v>
      </c>
      <c r="B73" s="278">
        <f>_xlfn.XLOOKUP(A73,'Target ปี 2026'!B:B,'Target ปี 2026'!C:C,0,0)</f>
        <v>1000000</v>
      </c>
      <c r="C73" s="278">
        <f>_xlfn.XLOOKUP(A73,ยอดขายปัจจุบัน!B:B,ยอดขายปัจจุบัน!D:D,0,0)</f>
        <v>1180213.5</v>
      </c>
      <c r="D73" s="279">
        <f t="shared" si="7"/>
        <v>1103003.2710280374</v>
      </c>
      <c r="E73" s="280">
        <f t="shared" si="4"/>
        <v>1.1030032710280375</v>
      </c>
      <c r="F73" s="278">
        <f>_xlfn.XLOOKUP(A73,ยอดขายปีที่แล้ว!B:B,ยอดขายปีที่แล้ว!D:D,0,0)</f>
        <v>884333</v>
      </c>
      <c r="G73" s="278">
        <f>_xlfn.XLOOKUP(A73,ยอดขายปัจจุบัน!B:B,ยอดขายปัจจุบัน!D:D,0,0)</f>
        <v>1180213.5</v>
      </c>
      <c r="H73" s="281">
        <f t="shared" si="5"/>
        <v>295880.5</v>
      </c>
      <c r="I73" s="292">
        <f t="shared" si="6"/>
        <v>0.33458041258213816</v>
      </c>
    </row>
    <row r="74" spans="1:9" s="271" customFormat="1" ht="20" customHeight="1" x14ac:dyDescent="0.15">
      <c r="A74" s="8" t="s">
        <v>43</v>
      </c>
      <c r="B74" s="278">
        <f>_xlfn.XLOOKUP(A74,'Target ปี 2026'!B:B,'Target ปี 2026'!C:C,0,0)</f>
        <v>350000</v>
      </c>
      <c r="C74" s="278">
        <f>_xlfn.XLOOKUP(A74,ยอดขายปัจจุบัน!B:B,ยอดขายปัจจุบัน!D:D,0,0)</f>
        <v>344049</v>
      </c>
      <c r="D74" s="279">
        <f t="shared" si="7"/>
        <v>321541.1214953271</v>
      </c>
      <c r="E74" s="280">
        <f t="shared" si="4"/>
        <v>0.91868891855807744</v>
      </c>
      <c r="F74" s="278">
        <f>_xlfn.XLOOKUP(A74,ยอดขายปีที่แล้ว!B:B,ยอดขายปีที่แล้ว!D:D,0,0)</f>
        <v>657017</v>
      </c>
      <c r="G74" s="278">
        <f>_xlfn.XLOOKUP(A74,ยอดขายปัจจุบัน!B:B,ยอดขายปัจจุบัน!D:D,0,0)</f>
        <v>344049</v>
      </c>
      <c r="H74" s="281">
        <f t="shared" si="5"/>
        <v>-312968</v>
      </c>
      <c r="I74" s="292">
        <f t="shared" si="6"/>
        <v>-0.47634688295736638</v>
      </c>
    </row>
    <row r="75" spans="1:9" s="271" customFormat="1" ht="20" customHeight="1" x14ac:dyDescent="0.15">
      <c r="A75" s="8" t="s">
        <v>148</v>
      </c>
      <c r="B75" s="278">
        <f>_xlfn.XLOOKUP(A75,'Target ปี 2026'!B:B,'Target ปี 2026'!C:C,0,0)</f>
        <v>600000</v>
      </c>
      <c r="C75" s="278">
        <f>_xlfn.XLOOKUP(A75,ยอดขายปัจจุบัน!B:B,ยอดขายปัจจุบัน!D:D,0,0)</f>
        <v>649070</v>
      </c>
      <c r="D75" s="279">
        <f t="shared" si="7"/>
        <v>606607.47663551406</v>
      </c>
      <c r="E75" s="280">
        <f t="shared" si="4"/>
        <v>1.0110124610591902</v>
      </c>
      <c r="F75" s="278">
        <f>_xlfn.XLOOKUP(A75,ยอดขายปีที่แล้ว!B:B,ยอดขายปีที่แล้ว!D:D,0,0)</f>
        <v>556534</v>
      </c>
      <c r="G75" s="278">
        <f>_xlfn.XLOOKUP(A75,ยอดขายปัจจุบัน!B:B,ยอดขายปัจจุบัน!D:D,0,0)</f>
        <v>649070</v>
      </c>
      <c r="H75" s="281">
        <f t="shared" si="5"/>
        <v>92536</v>
      </c>
      <c r="I75" s="292">
        <f t="shared" si="6"/>
        <v>0.16627196182084114</v>
      </c>
    </row>
    <row r="76" spans="1:9" s="271" customFormat="1" ht="20" customHeight="1" x14ac:dyDescent="0.15">
      <c r="A76" s="8" t="s">
        <v>88</v>
      </c>
      <c r="B76" s="278">
        <f>_xlfn.XLOOKUP(A76,'Target ปี 2026'!B:B,'Target ปี 2026'!C:C,0,0)</f>
        <v>1100000</v>
      </c>
      <c r="C76" s="278">
        <f>_xlfn.XLOOKUP(A76,ยอดขายปัจจุบัน!B:B,ยอดขายปัจจุบัน!D:D,0,0)</f>
        <v>1222613</v>
      </c>
      <c r="D76" s="279">
        <f t="shared" si="7"/>
        <v>1142628.9719626168</v>
      </c>
      <c r="E76" s="280">
        <f t="shared" si="4"/>
        <v>1.0387536108751061</v>
      </c>
      <c r="F76" s="278">
        <f>_xlfn.XLOOKUP(A76,ยอดขายปีที่แล้ว!B:B,ยอดขายปีที่แล้ว!D:D,0,0)</f>
        <v>987146</v>
      </c>
      <c r="G76" s="278">
        <f>_xlfn.XLOOKUP(A76,ยอดขายปัจจุบัน!B:B,ยอดขายปัจจุบัน!D:D,0,0)</f>
        <v>1222613</v>
      </c>
      <c r="H76" s="281">
        <f t="shared" si="5"/>
        <v>235467</v>
      </c>
      <c r="I76" s="292">
        <f t="shared" si="6"/>
        <v>0.23853310452557169</v>
      </c>
    </row>
    <row r="77" spans="1:9" s="271" customFormat="1" ht="20" customHeight="1" x14ac:dyDescent="0.15">
      <c r="A77" s="8" t="s">
        <v>4</v>
      </c>
      <c r="B77" s="278">
        <f>_xlfn.XLOOKUP(A77,'Target ปี 2026'!B:B,'Target ปี 2026'!C:C,0,0)</f>
        <v>1400000</v>
      </c>
      <c r="C77" s="278">
        <f>_xlfn.XLOOKUP(A77,ยอดขายปัจจุบัน!B:B,ยอดขายปัจจุบัน!D:D,0,0)</f>
        <v>1557003</v>
      </c>
      <c r="D77" s="279">
        <f t="shared" si="7"/>
        <v>1455142.9906542057</v>
      </c>
      <c r="E77" s="280">
        <f t="shared" si="4"/>
        <v>1.0393878504672898</v>
      </c>
      <c r="F77" s="278">
        <f>_xlfn.XLOOKUP(A77,ยอดขายปีที่แล้ว!B:B,ยอดขายปีที่แล้ว!D:D,0,0)</f>
        <v>1305153</v>
      </c>
      <c r="G77" s="278">
        <f>_xlfn.XLOOKUP(A77,ยอดขายปัจจุบัน!B:B,ยอดขายปัจจุบัน!D:D,0,0)</f>
        <v>1557003</v>
      </c>
      <c r="H77" s="281">
        <f t="shared" si="5"/>
        <v>251850</v>
      </c>
      <c r="I77" s="292">
        <f t="shared" si="6"/>
        <v>0.19296588216094204</v>
      </c>
    </row>
    <row r="78" spans="1:9" s="271" customFormat="1" ht="20" customHeight="1" x14ac:dyDescent="0.15">
      <c r="A78" s="8" t="s">
        <v>151</v>
      </c>
      <c r="B78" s="278">
        <f>_xlfn.XLOOKUP(A78,'Target ปี 2026'!B:B,'Target ปี 2026'!C:C,0,0)</f>
        <v>750000</v>
      </c>
      <c r="C78" s="278">
        <f>_xlfn.XLOOKUP(A78,ยอดขายปัจจุบัน!B:B,ยอดขายปัจจุบัน!D:D,0,0)</f>
        <v>997340.92999999993</v>
      </c>
      <c r="D78" s="279">
        <f t="shared" si="7"/>
        <v>932094.32710280374</v>
      </c>
      <c r="E78" s="280">
        <f t="shared" si="4"/>
        <v>1.2427924361370717</v>
      </c>
      <c r="F78" s="278">
        <f>_xlfn.XLOOKUP(A78,ยอดขายปีที่แล้ว!B:B,ยอดขายปีที่แล้ว!D:D,0,0)</f>
        <v>682325.5</v>
      </c>
      <c r="G78" s="278">
        <f>_xlfn.XLOOKUP(A78,ยอดขายปัจจุบัน!B:B,ยอดขายปัจจุบัน!D:D,0,0)</f>
        <v>997340.92999999993</v>
      </c>
      <c r="H78" s="281">
        <f t="shared" si="5"/>
        <v>315015.42999999993</v>
      </c>
      <c r="I78" s="292">
        <f t="shared" si="6"/>
        <v>0.46167911062975064</v>
      </c>
    </row>
    <row r="79" spans="1:9" s="271" customFormat="1" ht="20" customHeight="1" x14ac:dyDescent="0.15">
      <c r="A79" s="8" t="s">
        <v>145</v>
      </c>
      <c r="B79" s="278">
        <f>_xlfn.XLOOKUP(A79,'Target ปี 2026'!B:B,'Target ปี 2026'!C:C,0,0)</f>
        <v>700000</v>
      </c>
      <c r="C79" s="278">
        <f>_xlfn.XLOOKUP(A79,ยอดขายปัจจุบัน!B:B,ยอดขายปัจจุบัน!D:D,0,0)</f>
        <v>793928</v>
      </c>
      <c r="D79" s="279">
        <f t="shared" si="7"/>
        <v>741988.78504672903</v>
      </c>
      <c r="E79" s="280">
        <f t="shared" si="4"/>
        <v>1.0599839786381844</v>
      </c>
      <c r="F79" s="278">
        <f>_xlfn.XLOOKUP(A79,ยอดขายปีที่แล้ว!B:B,ยอดขายปีที่แล้ว!D:D,0,0)</f>
        <v>639916</v>
      </c>
      <c r="G79" s="278">
        <f>_xlfn.XLOOKUP(A79,ยอดขายปัจจุบัน!B:B,ยอดขายปัจจุบัน!D:D,0,0)</f>
        <v>793928</v>
      </c>
      <c r="H79" s="281">
        <f t="shared" si="5"/>
        <v>154012</v>
      </c>
      <c r="I79" s="292">
        <f t="shared" si="6"/>
        <v>0.24067533863819626</v>
      </c>
    </row>
    <row r="80" spans="1:9" s="271" customFormat="1" ht="20" customHeight="1" x14ac:dyDescent="0.15">
      <c r="A80" s="8" t="s">
        <v>283</v>
      </c>
      <c r="B80" s="278">
        <f>_xlfn.XLOOKUP(A80,'Target ปี 2026'!B:B,'Target ปี 2026'!C:C,0,0)</f>
        <v>450000</v>
      </c>
      <c r="C80" s="278">
        <f>_xlfn.XLOOKUP(A80,ยอดขายปัจจุบัน!B:B,ยอดขายปัจจุบัน!D:D,0,0)</f>
        <v>612677.5</v>
      </c>
      <c r="D80" s="279">
        <f t="shared" si="7"/>
        <v>572595.79439252336</v>
      </c>
      <c r="E80" s="280">
        <f t="shared" si="4"/>
        <v>1.2724350986500519</v>
      </c>
      <c r="F80" s="278">
        <f>_xlfn.XLOOKUP(A80,ยอดขายปีที่แล้ว!B:B,ยอดขายปีที่แล้ว!D:D,0,0)</f>
        <v>295438.99999999994</v>
      </c>
      <c r="G80" s="278">
        <f>_xlfn.XLOOKUP(A80,ยอดขายปัจจุบัน!B:B,ยอดขายปัจจุบัน!D:D,0,0)</f>
        <v>612677.5</v>
      </c>
      <c r="H80" s="281">
        <f t="shared" si="5"/>
        <v>317238.50000000006</v>
      </c>
      <c r="I80" s="292">
        <f t="shared" si="6"/>
        <v>1.073786805398069</v>
      </c>
    </row>
    <row r="81" spans="1:9" s="271" customFormat="1" ht="20" customHeight="1" x14ac:dyDescent="0.15">
      <c r="A81" s="8" t="s">
        <v>47</v>
      </c>
      <c r="B81" s="278">
        <f>_xlfn.XLOOKUP(A81,'Target ปี 2026'!B:B,'Target ปี 2026'!C:C,0,0)</f>
        <v>550000</v>
      </c>
      <c r="C81" s="278">
        <f>_xlfn.XLOOKUP(A81,ยอดขายปัจจุบัน!B:B,ยอดขายปัจจุบัน!D:D,0,0)</f>
        <v>673558</v>
      </c>
      <c r="D81" s="279">
        <f t="shared" si="7"/>
        <v>629493.45794392528</v>
      </c>
      <c r="E81" s="280">
        <f t="shared" si="4"/>
        <v>1.1445335598980459</v>
      </c>
      <c r="F81" s="278">
        <f>_xlfn.XLOOKUP(A81,ยอดขายปีที่แล้ว!B:B,ยอดขายปีที่แล้ว!D:D,0,0)</f>
        <v>429532</v>
      </c>
      <c r="G81" s="278">
        <f>_xlfn.XLOOKUP(A81,ยอดขายปัจจุบัน!B:B,ยอดขายปัจจุบัน!D:D,0,0)</f>
        <v>673558</v>
      </c>
      <c r="H81" s="281">
        <f t="shared" si="5"/>
        <v>244026</v>
      </c>
      <c r="I81" s="292">
        <f t="shared" si="6"/>
        <v>0.56812065224476871</v>
      </c>
    </row>
    <row r="82" spans="1:9" s="271" customFormat="1" ht="20" customHeight="1" x14ac:dyDescent="0.15">
      <c r="A82" s="8" t="s">
        <v>305</v>
      </c>
      <c r="B82" s="278">
        <f>_xlfn.XLOOKUP(A82,'Target ปี 2026'!B:B,'Target ปี 2026'!C:C,0,0)</f>
        <v>1400000</v>
      </c>
      <c r="C82" s="278">
        <f>_xlfn.XLOOKUP(A82,ยอดขายปัจจุบัน!B:B,ยอดขายปัจจุบัน!D:D,0,0)</f>
        <v>1196967.29</v>
      </c>
      <c r="D82" s="279">
        <f t="shared" si="7"/>
        <v>1118661.0186915889</v>
      </c>
      <c r="E82" s="280">
        <f t="shared" si="4"/>
        <v>0.79904358477970638</v>
      </c>
      <c r="F82" s="278">
        <f>_xlfn.XLOOKUP(A82,ยอดขายปีที่แล้ว!B:B,ยอดขายปีที่แล้ว!D:D,0,0)</f>
        <v>0</v>
      </c>
      <c r="G82" s="278">
        <f>_xlfn.XLOOKUP(A82,ยอดขายปัจจุบัน!B:B,ยอดขายปัจจุบัน!D:D,0,0)</f>
        <v>1196967.29</v>
      </c>
      <c r="H82" s="281">
        <f t="shared" si="5"/>
        <v>1196967.29</v>
      </c>
      <c r="I82" s="292" t="e">
        <f t="shared" si="6"/>
        <v>#DIV/0!</v>
      </c>
    </row>
    <row r="83" spans="1:9" s="271" customFormat="1" ht="20" customHeight="1" x14ac:dyDescent="0.15">
      <c r="A83" s="8" t="s">
        <v>292</v>
      </c>
      <c r="B83" s="278">
        <f>_xlfn.XLOOKUP(A83,'Target ปี 2026'!B:B,'Target ปี 2026'!C:C,0,0)</f>
        <v>350000</v>
      </c>
      <c r="C83" s="278">
        <f>_xlfn.XLOOKUP(A83,ยอดขายปัจจุบัน!B:B,ยอดขายปัจจุบัน!D:D,0,0)</f>
        <v>396760.54</v>
      </c>
      <c r="D83" s="279">
        <f t="shared" si="7"/>
        <v>370804.24299065419</v>
      </c>
      <c r="E83" s="280">
        <f t="shared" si="4"/>
        <v>1.059440694259012</v>
      </c>
      <c r="F83" s="278">
        <f>_xlfn.XLOOKUP(A83,ยอดขายปีที่แล้ว!B:B,ยอดขายปีที่แล้ว!D:D,0,0)</f>
        <v>0</v>
      </c>
      <c r="G83" s="278">
        <f>_xlfn.XLOOKUP(A83,ยอดขายปัจจุบัน!B:B,ยอดขายปัจจุบัน!D:D,0,0)</f>
        <v>396760.54</v>
      </c>
      <c r="H83" s="281">
        <f t="shared" si="5"/>
        <v>396760.54</v>
      </c>
      <c r="I83" s="292" t="e">
        <f t="shared" si="6"/>
        <v>#DIV/0!</v>
      </c>
    </row>
    <row r="84" spans="1:9" s="271" customFormat="1" ht="20" customHeight="1" x14ac:dyDescent="0.15">
      <c r="A84" s="272" t="s">
        <v>261</v>
      </c>
      <c r="B84" s="284">
        <f>SUM(B71:B83)</f>
        <v>9300000</v>
      </c>
      <c r="C84" s="283"/>
      <c r="D84" s="285">
        <f>SUM(D71:D83)</f>
        <v>9756024.5420560744</v>
      </c>
      <c r="E84" s="286">
        <f>D84/B84</f>
        <v>1.0490348969952767</v>
      </c>
      <c r="F84" s="284">
        <f>SUM(F71:F83)</f>
        <v>6983764.5</v>
      </c>
      <c r="G84" s="284">
        <f>SUM(G71:G83)</f>
        <v>10438946.259999998</v>
      </c>
      <c r="H84" s="284">
        <f t="shared" si="5"/>
        <v>3455181.7599999979</v>
      </c>
      <c r="I84" s="287">
        <f t="shared" si="6"/>
        <v>0.49474488436716302</v>
      </c>
    </row>
    <row r="85" spans="1:9" x14ac:dyDescent="0.15">
      <c r="E85" s="268"/>
    </row>
    <row r="86" spans="1:9" ht="21" customHeight="1" x14ac:dyDescent="0.15">
      <c r="F86" s="267">
        <f>F17+F34+F51+F68+F84</f>
        <v>55757573.75</v>
      </c>
      <c r="G86" s="267">
        <f>G17+G34+G51+G68+G84</f>
        <v>72523549.060000002</v>
      </c>
      <c r="H86" s="267">
        <f>G86-F86</f>
        <v>16765975.310000002</v>
      </c>
      <c r="I86" s="269">
        <f>(G86-F86)/F86</f>
        <v>0.30069413323423172</v>
      </c>
    </row>
  </sheetData>
  <mergeCells count="2">
    <mergeCell ref="H1:I1"/>
    <mergeCell ref="P2:Q2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F228-4DAB-3240-AA0F-44C64BCF787F}">
  <sheetPr codeName="Sheet10">
    <tabColor rgb="FFFFFF00"/>
  </sheetPr>
  <dimension ref="A1:AK48"/>
  <sheetViews>
    <sheetView zoomScale="60" zoomScaleNormal="60" workbookViewId="0">
      <pane ySplit="4" topLeftCell="A5" activePane="bottomLeft" state="frozen"/>
      <selection pane="bottomLeft" activeCell="Y12" sqref="Y12"/>
    </sheetView>
  </sheetViews>
  <sheetFormatPr baseColWidth="10" defaultRowHeight="24" x14ac:dyDescent="0.3"/>
  <cols>
    <col min="1" max="1" width="5.28515625" style="97" customWidth="1"/>
    <col min="2" max="2" width="7.7109375" style="99" customWidth="1"/>
    <col min="3" max="3" width="40.7109375" style="99" customWidth="1"/>
    <col min="4" max="4" width="11.5703125" style="99" customWidth="1"/>
    <col min="5" max="5" width="10.42578125" style="107" customWidth="1"/>
    <col min="6" max="8" width="10.42578125" style="99" customWidth="1"/>
    <col min="9" max="9" width="10.42578125" style="107" hidden="1" customWidth="1"/>
    <col min="10" max="12" width="10.42578125" style="99" hidden="1" customWidth="1"/>
    <col min="13" max="13" width="22.42578125" style="99" customWidth="1"/>
    <col min="14" max="14" width="15.140625" style="97" customWidth="1"/>
    <col min="15" max="37" width="10.7109375" style="97"/>
    <col min="38" max="251" width="10.7109375" style="99"/>
    <col min="252" max="252" width="10" style="99" customWidth="1"/>
    <col min="253" max="253" width="38.42578125" style="99" customWidth="1"/>
    <col min="254" max="254" width="0" style="99" hidden="1" customWidth="1"/>
    <col min="255" max="255" width="9.7109375" style="99" customWidth="1"/>
    <col min="256" max="256" width="0" style="99" hidden="1" customWidth="1"/>
    <col min="257" max="257" width="10.140625" style="99" customWidth="1"/>
    <col min="258" max="258" width="10.7109375" style="99"/>
    <col min="259" max="259" width="11" style="99" customWidth="1"/>
    <col min="260" max="260" width="10.7109375" style="99"/>
    <col min="261" max="261" width="0" style="99" hidden="1" customWidth="1"/>
    <col min="262" max="263" width="10.7109375" style="99"/>
    <col min="264" max="264" width="10" style="99" customWidth="1"/>
    <col min="265" max="265" width="21" style="99" customWidth="1"/>
    <col min="266" max="266" width="15.140625" style="99" customWidth="1"/>
    <col min="267" max="507" width="10.7109375" style="99"/>
    <col min="508" max="508" width="10" style="99" customWidth="1"/>
    <col min="509" max="509" width="38.42578125" style="99" customWidth="1"/>
    <col min="510" max="510" width="0" style="99" hidden="1" customWidth="1"/>
    <col min="511" max="511" width="9.7109375" style="99" customWidth="1"/>
    <col min="512" max="512" width="0" style="99" hidden="1" customWidth="1"/>
    <col min="513" max="513" width="10.140625" style="99" customWidth="1"/>
    <col min="514" max="514" width="10.7109375" style="99"/>
    <col min="515" max="515" width="11" style="99" customWidth="1"/>
    <col min="516" max="516" width="10.7109375" style="99"/>
    <col min="517" max="517" width="0" style="99" hidden="1" customWidth="1"/>
    <col min="518" max="519" width="10.7109375" style="99"/>
    <col min="520" max="520" width="10" style="99" customWidth="1"/>
    <col min="521" max="521" width="21" style="99" customWidth="1"/>
    <col min="522" max="522" width="15.140625" style="99" customWidth="1"/>
    <col min="523" max="763" width="10.7109375" style="99"/>
    <col min="764" max="764" width="10" style="99" customWidth="1"/>
    <col min="765" max="765" width="38.42578125" style="99" customWidth="1"/>
    <col min="766" max="766" width="0" style="99" hidden="1" customWidth="1"/>
    <col min="767" max="767" width="9.7109375" style="99" customWidth="1"/>
    <col min="768" max="768" width="0" style="99" hidden="1" customWidth="1"/>
    <col min="769" max="769" width="10.140625" style="99" customWidth="1"/>
    <col min="770" max="770" width="10.7109375" style="99"/>
    <col min="771" max="771" width="11" style="99" customWidth="1"/>
    <col min="772" max="772" width="10.7109375" style="99"/>
    <col min="773" max="773" width="0" style="99" hidden="1" customWidth="1"/>
    <col min="774" max="775" width="10.7109375" style="99"/>
    <col min="776" max="776" width="10" style="99" customWidth="1"/>
    <col min="777" max="777" width="21" style="99" customWidth="1"/>
    <col min="778" max="778" width="15.140625" style="99" customWidth="1"/>
    <col min="779" max="1019" width="10.7109375" style="99"/>
    <col min="1020" max="1020" width="10" style="99" customWidth="1"/>
    <col min="1021" max="1021" width="38.42578125" style="99" customWidth="1"/>
    <col min="1022" max="1022" width="0" style="99" hidden="1" customWidth="1"/>
    <col min="1023" max="1023" width="9.7109375" style="99" customWidth="1"/>
    <col min="1024" max="1024" width="0" style="99" hidden="1" customWidth="1"/>
    <col min="1025" max="1025" width="10.140625" style="99" customWidth="1"/>
    <col min="1026" max="1026" width="10.7109375" style="99"/>
    <col min="1027" max="1027" width="11" style="99" customWidth="1"/>
    <col min="1028" max="1028" width="10.7109375" style="99"/>
    <col min="1029" max="1029" width="0" style="99" hidden="1" customWidth="1"/>
    <col min="1030" max="1031" width="10.7109375" style="99"/>
    <col min="1032" max="1032" width="10" style="99" customWidth="1"/>
    <col min="1033" max="1033" width="21" style="99" customWidth="1"/>
    <col min="1034" max="1034" width="15.140625" style="99" customWidth="1"/>
    <col min="1035" max="1275" width="10.7109375" style="99"/>
    <col min="1276" max="1276" width="10" style="99" customWidth="1"/>
    <col min="1277" max="1277" width="38.42578125" style="99" customWidth="1"/>
    <col min="1278" max="1278" width="0" style="99" hidden="1" customWidth="1"/>
    <col min="1279" max="1279" width="9.7109375" style="99" customWidth="1"/>
    <col min="1280" max="1280" width="0" style="99" hidden="1" customWidth="1"/>
    <col min="1281" max="1281" width="10.140625" style="99" customWidth="1"/>
    <col min="1282" max="1282" width="10.7109375" style="99"/>
    <col min="1283" max="1283" width="11" style="99" customWidth="1"/>
    <col min="1284" max="1284" width="10.7109375" style="99"/>
    <col min="1285" max="1285" width="0" style="99" hidden="1" customWidth="1"/>
    <col min="1286" max="1287" width="10.7109375" style="99"/>
    <col min="1288" max="1288" width="10" style="99" customWidth="1"/>
    <col min="1289" max="1289" width="21" style="99" customWidth="1"/>
    <col min="1290" max="1290" width="15.140625" style="99" customWidth="1"/>
    <col min="1291" max="1531" width="10.7109375" style="99"/>
    <col min="1532" max="1532" width="10" style="99" customWidth="1"/>
    <col min="1533" max="1533" width="38.42578125" style="99" customWidth="1"/>
    <col min="1534" max="1534" width="0" style="99" hidden="1" customWidth="1"/>
    <col min="1535" max="1535" width="9.7109375" style="99" customWidth="1"/>
    <col min="1536" max="1536" width="0" style="99" hidden="1" customWidth="1"/>
    <col min="1537" max="1537" width="10.140625" style="99" customWidth="1"/>
    <col min="1538" max="1538" width="10.7109375" style="99"/>
    <col min="1539" max="1539" width="11" style="99" customWidth="1"/>
    <col min="1540" max="1540" width="10.7109375" style="99"/>
    <col min="1541" max="1541" width="0" style="99" hidden="1" customWidth="1"/>
    <col min="1542" max="1543" width="10.7109375" style="99"/>
    <col min="1544" max="1544" width="10" style="99" customWidth="1"/>
    <col min="1545" max="1545" width="21" style="99" customWidth="1"/>
    <col min="1546" max="1546" width="15.140625" style="99" customWidth="1"/>
    <col min="1547" max="1787" width="10.7109375" style="99"/>
    <col min="1788" max="1788" width="10" style="99" customWidth="1"/>
    <col min="1789" max="1789" width="38.42578125" style="99" customWidth="1"/>
    <col min="1790" max="1790" width="0" style="99" hidden="1" customWidth="1"/>
    <col min="1791" max="1791" width="9.7109375" style="99" customWidth="1"/>
    <col min="1792" max="1792" width="0" style="99" hidden="1" customWidth="1"/>
    <col min="1793" max="1793" width="10.140625" style="99" customWidth="1"/>
    <col min="1794" max="1794" width="10.7109375" style="99"/>
    <col min="1795" max="1795" width="11" style="99" customWidth="1"/>
    <col min="1796" max="1796" width="10.7109375" style="99"/>
    <col min="1797" max="1797" width="0" style="99" hidden="1" customWidth="1"/>
    <col min="1798" max="1799" width="10.7109375" style="99"/>
    <col min="1800" max="1800" width="10" style="99" customWidth="1"/>
    <col min="1801" max="1801" width="21" style="99" customWidth="1"/>
    <col min="1802" max="1802" width="15.140625" style="99" customWidth="1"/>
    <col min="1803" max="2043" width="10.7109375" style="99"/>
    <col min="2044" max="2044" width="10" style="99" customWidth="1"/>
    <col min="2045" max="2045" width="38.42578125" style="99" customWidth="1"/>
    <col min="2046" max="2046" width="0" style="99" hidden="1" customWidth="1"/>
    <col min="2047" max="2047" width="9.7109375" style="99" customWidth="1"/>
    <col min="2048" max="2048" width="0" style="99" hidden="1" customWidth="1"/>
    <col min="2049" max="2049" width="10.140625" style="99" customWidth="1"/>
    <col min="2050" max="2050" width="10.7109375" style="99"/>
    <col min="2051" max="2051" width="11" style="99" customWidth="1"/>
    <col min="2052" max="2052" width="10.7109375" style="99"/>
    <col min="2053" max="2053" width="0" style="99" hidden="1" customWidth="1"/>
    <col min="2054" max="2055" width="10.7109375" style="99"/>
    <col min="2056" max="2056" width="10" style="99" customWidth="1"/>
    <col min="2057" max="2057" width="21" style="99" customWidth="1"/>
    <col min="2058" max="2058" width="15.140625" style="99" customWidth="1"/>
    <col min="2059" max="2299" width="10.7109375" style="99"/>
    <col min="2300" max="2300" width="10" style="99" customWidth="1"/>
    <col min="2301" max="2301" width="38.42578125" style="99" customWidth="1"/>
    <col min="2302" max="2302" width="0" style="99" hidden="1" customWidth="1"/>
    <col min="2303" max="2303" width="9.7109375" style="99" customWidth="1"/>
    <col min="2304" max="2304" width="0" style="99" hidden="1" customWidth="1"/>
    <col min="2305" max="2305" width="10.140625" style="99" customWidth="1"/>
    <col min="2306" max="2306" width="10.7109375" style="99"/>
    <col min="2307" max="2307" width="11" style="99" customWidth="1"/>
    <col min="2308" max="2308" width="10.7109375" style="99"/>
    <col min="2309" max="2309" width="0" style="99" hidden="1" customWidth="1"/>
    <col min="2310" max="2311" width="10.7109375" style="99"/>
    <col min="2312" max="2312" width="10" style="99" customWidth="1"/>
    <col min="2313" max="2313" width="21" style="99" customWidth="1"/>
    <col min="2314" max="2314" width="15.140625" style="99" customWidth="1"/>
    <col min="2315" max="2555" width="10.7109375" style="99"/>
    <col min="2556" max="2556" width="10" style="99" customWidth="1"/>
    <col min="2557" max="2557" width="38.42578125" style="99" customWidth="1"/>
    <col min="2558" max="2558" width="0" style="99" hidden="1" customWidth="1"/>
    <col min="2559" max="2559" width="9.7109375" style="99" customWidth="1"/>
    <col min="2560" max="2560" width="0" style="99" hidden="1" customWidth="1"/>
    <col min="2561" max="2561" width="10.140625" style="99" customWidth="1"/>
    <col min="2562" max="2562" width="10.7109375" style="99"/>
    <col min="2563" max="2563" width="11" style="99" customWidth="1"/>
    <col min="2564" max="2564" width="10.7109375" style="99"/>
    <col min="2565" max="2565" width="0" style="99" hidden="1" customWidth="1"/>
    <col min="2566" max="2567" width="10.7109375" style="99"/>
    <col min="2568" max="2568" width="10" style="99" customWidth="1"/>
    <col min="2569" max="2569" width="21" style="99" customWidth="1"/>
    <col min="2570" max="2570" width="15.140625" style="99" customWidth="1"/>
    <col min="2571" max="2811" width="10.7109375" style="99"/>
    <col min="2812" max="2812" width="10" style="99" customWidth="1"/>
    <col min="2813" max="2813" width="38.42578125" style="99" customWidth="1"/>
    <col min="2814" max="2814" width="0" style="99" hidden="1" customWidth="1"/>
    <col min="2815" max="2815" width="9.7109375" style="99" customWidth="1"/>
    <col min="2816" max="2816" width="0" style="99" hidden="1" customWidth="1"/>
    <col min="2817" max="2817" width="10.140625" style="99" customWidth="1"/>
    <col min="2818" max="2818" width="10.7109375" style="99"/>
    <col min="2819" max="2819" width="11" style="99" customWidth="1"/>
    <col min="2820" max="2820" width="10.7109375" style="99"/>
    <col min="2821" max="2821" width="0" style="99" hidden="1" customWidth="1"/>
    <col min="2822" max="2823" width="10.7109375" style="99"/>
    <col min="2824" max="2824" width="10" style="99" customWidth="1"/>
    <col min="2825" max="2825" width="21" style="99" customWidth="1"/>
    <col min="2826" max="2826" width="15.140625" style="99" customWidth="1"/>
    <col min="2827" max="3067" width="10.7109375" style="99"/>
    <col min="3068" max="3068" width="10" style="99" customWidth="1"/>
    <col min="3069" max="3069" width="38.42578125" style="99" customWidth="1"/>
    <col min="3070" max="3070" width="0" style="99" hidden="1" customWidth="1"/>
    <col min="3071" max="3071" width="9.7109375" style="99" customWidth="1"/>
    <col min="3072" max="3072" width="0" style="99" hidden="1" customWidth="1"/>
    <col min="3073" max="3073" width="10.140625" style="99" customWidth="1"/>
    <col min="3074" max="3074" width="10.7109375" style="99"/>
    <col min="3075" max="3075" width="11" style="99" customWidth="1"/>
    <col min="3076" max="3076" width="10.7109375" style="99"/>
    <col min="3077" max="3077" width="0" style="99" hidden="1" customWidth="1"/>
    <col min="3078" max="3079" width="10.7109375" style="99"/>
    <col min="3080" max="3080" width="10" style="99" customWidth="1"/>
    <col min="3081" max="3081" width="21" style="99" customWidth="1"/>
    <col min="3082" max="3082" width="15.140625" style="99" customWidth="1"/>
    <col min="3083" max="3323" width="10.7109375" style="99"/>
    <col min="3324" max="3324" width="10" style="99" customWidth="1"/>
    <col min="3325" max="3325" width="38.42578125" style="99" customWidth="1"/>
    <col min="3326" max="3326" width="0" style="99" hidden="1" customWidth="1"/>
    <col min="3327" max="3327" width="9.7109375" style="99" customWidth="1"/>
    <col min="3328" max="3328" width="0" style="99" hidden="1" customWidth="1"/>
    <col min="3329" max="3329" width="10.140625" style="99" customWidth="1"/>
    <col min="3330" max="3330" width="10.7109375" style="99"/>
    <col min="3331" max="3331" width="11" style="99" customWidth="1"/>
    <col min="3332" max="3332" width="10.7109375" style="99"/>
    <col min="3333" max="3333" width="0" style="99" hidden="1" customWidth="1"/>
    <col min="3334" max="3335" width="10.7109375" style="99"/>
    <col min="3336" max="3336" width="10" style="99" customWidth="1"/>
    <col min="3337" max="3337" width="21" style="99" customWidth="1"/>
    <col min="3338" max="3338" width="15.140625" style="99" customWidth="1"/>
    <col min="3339" max="3579" width="10.7109375" style="99"/>
    <col min="3580" max="3580" width="10" style="99" customWidth="1"/>
    <col min="3581" max="3581" width="38.42578125" style="99" customWidth="1"/>
    <col min="3582" max="3582" width="0" style="99" hidden="1" customWidth="1"/>
    <col min="3583" max="3583" width="9.7109375" style="99" customWidth="1"/>
    <col min="3584" max="3584" width="0" style="99" hidden="1" customWidth="1"/>
    <col min="3585" max="3585" width="10.140625" style="99" customWidth="1"/>
    <col min="3586" max="3586" width="10.7109375" style="99"/>
    <col min="3587" max="3587" width="11" style="99" customWidth="1"/>
    <col min="3588" max="3588" width="10.7109375" style="99"/>
    <col min="3589" max="3589" width="0" style="99" hidden="1" customWidth="1"/>
    <col min="3590" max="3591" width="10.7109375" style="99"/>
    <col min="3592" max="3592" width="10" style="99" customWidth="1"/>
    <col min="3593" max="3593" width="21" style="99" customWidth="1"/>
    <col min="3594" max="3594" width="15.140625" style="99" customWidth="1"/>
    <col min="3595" max="3835" width="10.7109375" style="99"/>
    <col min="3836" max="3836" width="10" style="99" customWidth="1"/>
    <col min="3837" max="3837" width="38.42578125" style="99" customWidth="1"/>
    <col min="3838" max="3838" width="0" style="99" hidden="1" customWidth="1"/>
    <col min="3839" max="3839" width="9.7109375" style="99" customWidth="1"/>
    <col min="3840" max="3840" width="0" style="99" hidden="1" customWidth="1"/>
    <col min="3841" max="3841" width="10.140625" style="99" customWidth="1"/>
    <col min="3842" max="3842" width="10.7109375" style="99"/>
    <col min="3843" max="3843" width="11" style="99" customWidth="1"/>
    <col min="3844" max="3844" width="10.7109375" style="99"/>
    <col min="3845" max="3845" width="0" style="99" hidden="1" customWidth="1"/>
    <col min="3846" max="3847" width="10.7109375" style="99"/>
    <col min="3848" max="3848" width="10" style="99" customWidth="1"/>
    <col min="3849" max="3849" width="21" style="99" customWidth="1"/>
    <col min="3850" max="3850" width="15.140625" style="99" customWidth="1"/>
    <col min="3851" max="4091" width="10.7109375" style="99"/>
    <col min="4092" max="4092" width="10" style="99" customWidth="1"/>
    <col min="4093" max="4093" width="38.42578125" style="99" customWidth="1"/>
    <col min="4094" max="4094" width="0" style="99" hidden="1" customWidth="1"/>
    <col min="4095" max="4095" width="9.7109375" style="99" customWidth="1"/>
    <col min="4096" max="4096" width="0" style="99" hidden="1" customWidth="1"/>
    <col min="4097" max="4097" width="10.140625" style="99" customWidth="1"/>
    <col min="4098" max="4098" width="10.7109375" style="99"/>
    <col min="4099" max="4099" width="11" style="99" customWidth="1"/>
    <col min="4100" max="4100" width="10.7109375" style="99"/>
    <col min="4101" max="4101" width="0" style="99" hidden="1" customWidth="1"/>
    <col min="4102" max="4103" width="10.7109375" style="99"/>
    <col min="4104" max="4104" width="10" style="99" customWidth="1"/>
    <col min="4105" max="4105" width="21" style="99" customWidth="1"/>
    <col min="4106" max="4106" width="15.140625" style="99" customWidth="1"/>
    <col min="4107" max="4347" width="10.7109375" style="99"/>
    <col min="4348" max="4348" width="10" style="99" customWidth="1"/>
    <col min="4349" max="4349" width="38.42578125" style="99" customWidth="1"/>
    <col min="4350" max="4350" width="0" style="99" hidden="1" customWidth="1"/>
    <col min="4351" max="4351" width="9.7109375" style="99" customWidth="1"/>
    <col min="4352" max="4352" width="0" style="99" hidden="1" customWidth="1"/>
    <col min="4353" max="4353" width="10.140625" style="99" customWidth="1"/>
    <col min="4354" max="4354" width="10.7109375" style="99"/>
    <col min="4355" max="4355" width="11" style="99" customWidth="1"/>
    <col min="4356" max="4356" width="10.7109375" style="99"/>
    <col min="4357" max="4357" width="0" style="99" hidden="1" customWidth="1"/>
    <col min="4358" max="4359" width="10.7109375" style="99"/>
    <col min="4360" max="4360" width="10" style="99" customWidth="1"/>
    <col min="4361" max="4361" width="21" style="99" customWidth="1"/>
    <col min="4362" max="4362" width="15.140625" style="99" customWidth="1"/>
    <col min="4363" max="4603" width="10.7109375" style="99"/>
    <col min="4604" max="4604" width="10" style="99" customWidth="1"/>
    <col min="4605" max="4605" width="38.42578125" style="99" customWidth="1"/>
    <col min="4606" max="4606" width="0" style="99" hidden="1" customWidth="1"/>
    <col min="4607" max="4607" width="9.7109375" style="99" customWidth="1"/>
    <col min="4608" max="4608" width="0" style="99" hidden="1" customWidth="1"/>
    <col min="4609" max="4609" width="10.140625" style="99" customWidth="1"/>
    <col min="4610" max="4610" width="10.7109375" style="99"/>
    <col min="4611" max="4611" width="11" style="99" customWidth="1"/>
    <col min="4612" max="4612" width="10.7109375" style="99"/>
    <col min="4613" max="4613" width="0" style="99" hidden="1" customWidth="1"/>
    <col min="4614" max="4615" width="10.7109375" style="99"/>
    <col min="4616" max="4616" width="10" style="99" customWidth="1"/>
    <col min="4617" max="4617" width="21" style="99" customWidth="1"/>
    <col min="4618" max="4618" width="15.140625" style="99" customWidth="1"/>
    <col min="4619" max="4859" width="10.7109375" style="99"/>
    <col min="4860" max="4860" width="10" style="99" customWidth="1"/>
    <col min="4861" max="4861" width="38.42578125" style="99" customWidth="1"/>
    <col min="4862" max="4862" width="0" style="99" hidden="1" customWidth="1"/>
    <col min="4863" max="4863" width="9.7109375" style="99" customWidth="1"/>
    <col min="4864" max="4864" width="0" style="99" hidden="1" customWidth="1"/>
    <col min="4865" max="4865" width="10.140625" style="99" customWidth="1"/>
    <col min="4866" max="4866" width="10.7109375" style="99"/>
    <col min="4867" max="4867" width="11" style="99" customWidth="1"/>
    <col min="4868" max="4868" width="10.7109375" style="99"/>
    <col min="4869" max="4869" width="0" style="99" hidden="1" customWidth="1"/>
    <col min="4870" max="4871" width="10.7109375" style="99"/>
    <col min="4872" max="4872" width="10" style="99" customWidth="1"/>
    <col min="4873" max="4873" width="21" style="99" customWidth="1"/>
    <col min="4874" max="4874" width="15.140625" style="99" customWidth="1"/>
    <col min="4875" max="5115" width="10.7109375" style="99"/>
    <col min="5116" max="5116" width="10" style="99" customWidth="1"/>
    <col min="5117" max="5117" width="38.42578125" style="99" customWidth="1"/>
    <col min="5118" max="5118" width="0" style="99" hidden="1" customWidth="1"/>
    <col min="5119" max="5119" width="9.7109375" style="99" customWidth="1"/>
    <col min="5120" max="5120" width="0" style="99" hidden="1" customWidth="1"/>
    <col min="5121" max="5121" width="10.140625" style="99" customWidth="1"/>
    <col min="5122" max="5122" width="10.7109375" style="99"/>
    <col min="5123" max="5123" width="11" style="99" customWidth="1"/>
    <col min="5124" max="5124" width="10.7109375" style="99"/>
    <col min="5125" max="5125" width="0" style="99" hidden="1" customWidth="1"/>
    <col min="5126" max="5127" width="10.7109375" style="99"/>
    <col min="5128" max="5128" width="10" style="99" customWidth="1"/>
    <col min="5129" max="5129" width="21" style="99" customWidth="1"/>
    <col min="5130" max="5130" width="15.140625" style="99" customWidth="1"/>
    <col min="5131" max="5371" width="10.7109375" style="99"/>
    <col min="5372" max="5372" width="10" style="99" customWidth="1"/>
    <col min="5373" max="5373" width="38.42578125" style="99" customWidth="1"/>
    <col min="5374" max="5374" width="0" style="99" hidden="1" customWidth="1"/>
    <col min="5375" max="5375" width="9.7109375" style="99" customWidth="1"/>
    <col min="5376" max="5376" width="0" style="99" hidden="1" customWidth="1"/>
    <col min="5377" max="5377" width="10.140625" style="99" customWidth="1"/>
    <col min="5378" max="5378" width="10.7109375" style="99"/>
    <col min="5379" max="5379" width="11" style="99" customWidth="1"/>
    <col min="5380" max="5380" width="10.7109375" style="99"/>
    <col min="5381" max="5381" width="0" style="99" hidden="1" customWidth="1"/>
    <col min="5382" max="5383" width="10.7109375" style="99"/>
    <col min="5384" max="5384" width="10" style="99" customWidth="1"/>
    <col min="5385" max="5385" width="21" style="99" customWidth="1"/>
    <col min="5386" max="5386" width="15.140625" style="99" customWidth="1"/>
    <col min="5387" max="5627" width="10.7109375" style="99"/>
    <col min="5628" max="5628" width="10" style="99" customWidth="1"/>
    <col min="5629" max="5629" width="38.42578125" style="99" customWidth="1"/>
    <col min="5630" max="5630" width="0" style="99" hidden="1" customWidth="1"/>
    <col min="5631" max="5631" width="9.7109375" style="99" customWidth="1"/>
    <col min="5632" max="5632" width="0" style="99" hidden="1" customWidth="1"/>
    <col min="5633" max="5633" width="10.140625" style="99" customWidth="1"/>
    <col min="5634" max="5634" width="10.7109375" style="99"/>
    <col min="5635" max="5635" width="11" style="99" customWidth="1"/>
    <col min="5636" max="5636" width="10.7109375" style="99"/>
    <col min="5637" max="5637" width="0" style="99" hidden="1" customWidth="1"/>
    <col min="5638" max="5639" width="10.7109375" style="99"/>
    <col min="5640" max="5640" width="10" style="99" customWidth="1"/>
    <col min="5641" max="5641" width="21" style="99" customWidth="1"/>
    <col min="5642" max="5642" width="15.140625" style="99" customWidth="1"/>
    <col min="5643" max="5883" width="10.7109375" style="99"/>
    <col min="5884" max="5884" width="10" style="99" customWidth="1"/>
    <col min="5885" max="5885" width="38.42578125" style="99" customWidth="1"/>
    <col min="5886" max="5886" width="0" style="99" hidden="1" customWidth="1"/>
    <col min="5887" max="5887" width="9.7109375" style="99" customWidth="1"/>
    <col min="5888" max="5888" width="0" style="99" hidden="1" customWidth="1"/>
    <col min="5889" max="5889" width="10.140625" style="99" customWidth="1"/>
    <col min="5890" max="5890" width="10.7109375" style="99"/>
    <col min="5891" max="5891" width="11" style="99" customWidth="1"/>
    <col min="5892" max="5892" width="10.7109375" style="99"/>
    <col min="5893" max="5893" width="0" style="99" hidden="1" customWidth="1"/>
    <col min="5894" max="5895" width="10.7109375" style="99"/>
    <col min="5896" max="5896" width="10" style="99" customWidth="1"/>
    <col min="5897" max="5897" width="21" style="99" customWidth="1"/>
    <col min="5898" max="5898" width="15.140625" style="99" customWidth="1"/>
    <col min="5899" max="6139" width="10.7109375" style="99"/>
    <col min="6140" max="6140" width="10" style="99" customWidth="1"/>
    <col min="6141" max="6141" width="38.42578125" style="99" customWidth="1"/>
    <col min="6142" max="6142" width="0" style="99" hidden="1" customWidth="1"/>
    <col min="6143" max="6143" width="9.7109375" style="99" customWidth="1"/>
    <col min="6144" max="6144" width="0" style="99" hidden="1" customWidth="1"/>
    <col min="6145" max="6145" width="10.140625" style="99" customWidth="1"/>
    <col min="6146" max="6146" width="10.7109375" style="99"/>
    <col min="6147" max="6147" width="11" style="99" customWidth="1"/>
    <col min="6148" max="6148" width="10.7109375" style="99"/>
    <col min="6149" max="6149" width="0" style="99" hidden="1" customWidth="1"/>
    <col min="6150" max="6151" width="10.7109375" style="99"/>
    <col min="6152" max="6152" width="10" style="99" customWidth="1"/>
    <col min="6153" max="6153" width="21" style="99" customWidth="1"/>
    <col min="6154" max="6154" width="15.140625" style="99" customWidth="1"/>
    <col min="6155" max="6395" width="10.7109375" style="99"/>
    <col min="6396" max="6396" width="10" style="99" customWidth="1"/>
    <col min="6397" max="6397" width="38.42578125" style="99" customWidth="1"/>
    <col min="6398" max="6398" width="0" style="99" hidden="1" customWidth="1"/>
    <col min="6399" max="6399" width="9.7109375" style="99" customWidth="1"/>
    <col min="6400" max="6400" width="0" style="99" hidden="1" customWidth="1"/>
    <col min="6401" max="6401" width="10.140625" style="99" customWidth="1"/>
    <col min="6402" max="6402" width="10.7109375" style="99"/>
    <col min="6403" max="6403" width="11" style="99" customWidth="1"/>
    <col min="6404" max="6404" width="10.7109375" style="99"/>
    <col min="6405" max="6405" width="0" style="99" hidden="1" customWidth="1"/>
    <col min="6406" max="6407" width="10.7109375" style="99"/>
    <col min="6408" max="6408" width="10" style="99" customWidth="1"/>
    <col min="6409" max="6409" width="21" style="99" customWidth="1"/>
    <col min="6410" max="6410" width="15.140625" style="99" customWidth="1"/>
    <col min="6411" max="6651" width="10.7109375" style="99"/>
    <col min="6652" max="6652" width="10" style="99" customWidth="1"/>
    <col min="6653" max="6653" width="38.42578125" style="99" customWidth="1"/>
    <col min="6654" max="6654" width="0" style="99" hidden="1" customWidth="1"/>
    <col min="6655" max="6655" width="9.7109375" style="99" customWidth="1"/>
    <col min="6656" max="6656" width="0" style="99" hidden="1" customWidth="1"/>
    <col min="6657" max="6657" width="10.140625" style="99" customWidth="1"/>
    <col min="6658" max="6658" width="10.7109375" style="99"/>
    <col min="6659" max="6659" width="11" style="99" customWidth="1"/>
    <col min="6660" max="6660" width="10.7109375" style="99"/>
    <col min="6661" max="6661" width="0" style="99" hidden="1" customWidth="1"/>
    <col min="6662" max="6663" width="10.7109375" style="99"/>
    <col min="6664" max="6664" width="10" style="99" customWidth="1"/>
    <col min="6665" max="6665" width="21" style="99" customWidth="1"/>
    <col min="6666" max="6666" width="15.140625" style="99" customWidth="1"/>
    <col min="6667" max="6907" width="10.7109375" style="99"/>
    <col min="6908" max="6908" width="10" style="99" customWidth="1"/>
    <col min="6909" max="6909" width="38.42578125" style="99" customWidth="1"/>
    <col min="6910" max="6910" width="0" style="99" hidden="1" customWidth="1"/>
    <col min="6911" max="6911" width="9.7109375" style="99" customWidth="1"/>
    <col min="6912" max="6912" width="0" style="99" hidden="1" customWidth="1"/>
    <col min="6913" max="6913" width="10.140625" style="99" customWidth="1"/>
    <col min="6914" max="6914" width="10.7109375" style="99"/>
    <col min="6915" max="6915" width="11" style="99" customWidth="1"/>
    <col min="6916" max="6916" width="10.7109375" style="99"/>
    <col min="6917" max="6917" width="0" style="99" hidden="1" customWidth="1"/>
    <col min="6918" max="6919" width="10.7109375" style="99"/>
    <col min="6920" max="6920" width="10" style="99" customWidth="1"/>
    <col min="6921" max="6921" width="21" style="99" customWidth="1"/>
    <col min="6922" max="6922" width="15.140625" style="99" customWidth="1"/>
    <col min="6923" max="7163" width="10.7109375" style="99"/>
    <col min="7164" max="7164" width="10" style="99" customWidth="1"/>
    <col min="7165" max="7165" width="38.42578125" style="99" customWidth="1"/>
    <col min="7166" max="7166" width="0" style="99" hidden="1" customWidth="1"/>
    <col min="7167" max="7167" width="9.7109375" style="99" customWidth="1"/>
    <col min="7168" max="7168" width="0" style="99" hidden="1" customWidth="1"/>
    <col min="7169" max="7169" width="10.140625" style="99" customWidth="1"/>
    <col min="7170" max="7170" width="10.7109375" style="99"/>
    <col min="7171" max="7171" width="11" style="99" customWidth="1"/>
    <col min="7172" max="7172" width="10.7109375" style="99"/>
    <col min="7173" max="7173" width="0" style="99" hidden="1" customWidth="1"/>
    <col min="7174" max="7175" width="10.7109375" style="99"/>
    <col min="7176" max="7176" width="10" style="99" customWidth="1"/>
    <col min="7177" max="7177" width="21" style="99" customWidth="1"/>
    <col min="7178" max="7178" width="15.140625" style="99" customWidth="1"/>
    <col min="7179" max="7419" width="10.7109375" style="99"/>
    <col min="7420" max="7420" width="10" style="99" customWidth="1"/>
    <col min="7421" max="7421" width="38.42578125" style="99" customWidth="1"/>
    <col min="7422" max="7422" width="0" style="99" hidden="1" customWidth="1"/>
    <col min="7423" max="7423" width="9.7109375" style="99" customWidth="1"/>
    <col min="7424" max="7424" width="0" style="99" hidden="1" customWidth="1"/>
    <col min="7425" max="7425" width="10.140625" style="99" customWidth="1"/>
    <col min="7426" max="7426" width="10.7109375" style="99"/>
    <col min="7427" max="7427" width="11" style="99" customWidth="1"/>
    <col min="7428" max="7428" width="10.7109375" style="99"/>
    <col min="7429" max="7429" width="0" style="99" hidden="1" customWidth="1"/>
    <col min="7430" max="7431" width="10.7109375" style="99"/>
    <col min="7432" max="7432" width="10" style="99" customWidth="1"/>
    <col min="7433" max="7433" width="21" style="99" customWidth="1"/>
    <col min="7434" max="7434" width="15.140625" style="99" customWidth="1"/>
    <col min="7435" max="7675" width="10.7109375" style="99"/>
    <col min="7676" max="7676" width="10" style="99" customWidth="1"/>
    <col min="7677" max="7677" width="38.42578125" style="99" customWidth="1"/>
    <col min="7678" max="7678" width="0" style="99" hidden="1" customWidth="1"/>
    <col min="7679" max="7679" width="9.7109375" style="99" customWidth="1"/>
    <col min="7680" max="7680" width="0" style="99" hidden="1" customWidth="1"/>
    <col min="7681" max="7681" width="10.140625" style="99" customWidth="1"/>
    <col min="7682" max="7682" width="10.7109375" style="99"/>
    <col min="7683" max="7683" width="11" style="99" customWidth="1"/>
    <col min="7684" max="7684" width="10.7109375" style="99"/>
    <col min="7685" max="7685" width="0" style="99" hidden="1" customWidth="1"/>
    <col min="7686" max="7687" width="10.7109375" style="99"/>
    <col min="7688" max="7688" width="10" style="99" customWidth="1"/>
    <col min="7689" max="7689" width="21" style="99" customWidth="1"/>
    <col min="7690" max="7690" width="15.140625" style="99" customWidth="1"/>
    <col min="7691" max="7931" width="10.7109375" style="99"/>
    <col min="7932" max="7932" width="10" style="99" customWidth="1"/>
    <col min="7933" max="7933" width="38.42578125" style="99" customWidth="1"/>
    <col min="7934" max="7934" width="0" style="99" hidden="1" customWidth="1"/>
    <col min="7935" max="7935" width="9.7109375" style="99" customWidth="1"/>
    <col min="7936" max="7936" width="0" style="99" hidden="1" customWidth="1"/>
    <col min="7937" max="7937" width="10.140625" style="99" customWidth="1"/>
    <col min="7938" max="7938" width="10.7109375" style="99"/>
    <col min="7939" max="7939" width="11" style="99" customWidth="1"/>
    <col min="7940" max="7940" width="10.7109375" style="99"/>
    <col min="7941" max="7941" width="0" style="99" hidden="1" customWidth="1"/>
    <col min="7942" max="7943" width="10.7109375" style="99"/>
    <col min="7944" max="7944" width="10" style="99" customWidth="1"/>
    <col min="7945" max="7945" width="21" style="99" customWidth="1"/>
    <col min="7946" max="7946" width="15.140625" style="99" customWidth="1"/>
    <col min="7947" max="8187" width="10.7109375" style="99"/>
    <col min="8188" max="8188" width="10" style="99" customWidth="1"/>
    <col min="8189" max="8189" width="38.42578125" style="99" customWidth="1"/>
    <col min="8190" max="8190" width="0" style="99" hidden="1" customWidth="1"/>
    <col min="8191" max="8191" width="9.7109375" style="99" customWidth="1"/>
    <col min="8192" max="8192" width="0" style="99" hidden="1" customWidth="1"/>
    <col min="8193" max="8193" width="10.140625" style="99" customWidth="1"/>
    <col min="8194" max="8194" width="10.7109375" style="99"/>
    <col min="8195" max="8195" width="11" style="99" customWidth="1"/>
    <col min="8196" max="8196" width="10.7109375" style="99"/>
    <col min="8197" max="8197" width="0" style="99" hidden="1" customWidth="1"/>
    <col min="8198" max="8199" width="10.7109375" style="99"/>
    <col min="8200" max="8200" width="10" style="99" customWidth="1"/>
    <col min="8201" max="8201" width="21" style="99" customWidth="1"/>
    <col min="8202" max="8202" width="15.140625" style="99" customWidth="1"/>
    <col min="8203" max="8443" width="10.7109375" style="99"/>
    <col min="8444" max="8444" width="10" style="99" customWidth="1"/>
    <col min="8445" max="8445" width="38.42578125" style="99" customWidth="1"/>
    <col min="8446" max="8446" width="0" style="99" hidden="1" customWidth="1"/>
    <col min="8447" max="8447" width="9.7109375" style="99" customWidth="1"/>
    <col min="8448" max="8448" width="0" style="99" hidden="1" customWidth="1"/>
    <col min="8449" max="8449" width="10.140625" style="99" customWidth="1"/>
    <col min="8450" max="8450" width="10.7109375" style="99"/>
    <col min="8451" max="8451" width="11" style="99" customWidth="1"/>
    <col min="8452" max="8452" width="10.7109375" style="99"/>
    <col min="8453" max="8453" width="0" style="99" hidden="1" customWidth="1"/>
    <col min="8454" max="8455" width="10.7109375" style="99"/>
    <col min="8456" max="8456" width="10" style="99" customWidth="1"/>
    <col min="8457" max="8457" width="21" style="99" customWidth="1"/>
    <col min="8458" max="8458" width="15.140625" style="99" customWidth="1"/>
    <col min="8459" max="8699" width="10.7109375" style="99"/>
    <col min="8700" max="8700" width="10" style="99" customWidth="1"/>
    <col min="8701" max="8701" width="38.42578125" style="99" customWidth="1"/>
    <col min="8702" max="8702" width="0" style="99" hidden="1" customWidth="1"/>
    <col min="8703" max="8703" width="9.7109375" style="99" customWidth="1"/>
    <col min="8704" max="8704" width="0" style="99" hidden="1" customWidth="1"/>
    <col min="8705" max="8705" width="10.140625" style="99" customWidth="1"/>
    <col min="8706" max="8706" width="10.7109375" style="99"/>
    <col min="8707" max="8707" width="11" style="99" customWidth="1"/>
    <col min="8708" max="8708" width="10.7109375" style="99"/>
    <col min="8709" max="8709" width="0" style="99" hidden="1" customWidth="1"/>
    <col min="8710" max="8711" width="10.7109375" style="99"/>
    <col min="8712" max="8712" width="10" style="99" customWidth="1"/>
    <col min="8713" max="8713" width="21" style="99" customWidth="1"/>
    <col min="8714" max="8714" width="15.140625" style="99" customWidth="1"/>
    <col min="8715" max="8955" width="10.7109375" style="99"/>
    <col min="8956" max="8956" width="10" style="99" customWidth="1"/>
    <col min="8957" max="8957" width="38.42578125" style="99" customWidth="1"/>
    <col min="8958" max="8958" width="0" style="99" hidden="1" customWidth="1"/>
    <col min="8959" max="8959" width="9.7109375" style="99" customWidth="1"/>
    <col min="8960" max="8960" width="0" style="99" hidden="1" customWidth="1"/>
    <col min="8961" max="8961" width="10.140625" style="99" customWidth="1"/>
    <col min="8962" max="8962" width="10.7109375" style="99"/>
    <col min="8963" max="8963" width="11" style="99" customWidth="1"/>
    <col min="8964" max="8964" width="10.7109375" style="99"/>
    <col min="8965" max="8965" width="0" style="99" hidden="1" customWidth="1"/>
    <col min="8966" max="8967" width="10.7109375" style="99"/>
    <col min="8968" max="8968" width="10" style="99" customWidth="1"/>
    <col min="8969" max="8969" width="21" style="99" customWidth="1"/>
    <col min="8970" max="8970" width="15.140625" style="99" customWidth="1"/>
    <col min="8971" max="9211" width="10.7109375" style="99"/>
    <col min="9212" max="9212" width="10" style="99" customWidth="1"/>
    <col min="9213" max="9213" width="38.42578125" style="99" customWidth="1"/>
    <col min="9214" max="9214" width="0" style="99" hidden="1" customWidth="1"/>
    <col min="9215" max="9215" width="9.7109375" style="99" customWidth="1"/>
    <col min="9216" max="9216" width="0" style="99" hidden="1" customWidth="1"/>
    <col min="9217" max="9217" width="10.140625" style="99" customWidth="1"/>
    <col min="9218" max="9218" width="10.7109375" style="99"/>
    <col min="9219" max="9219" width="11" style="99" customWidth="1"/>
    <col min="9220" max="9220" width="10.7109375" style="99"/>
    <col min="9221" max="9221" width="0" style="99" hidden="1" customWidth="1"/>
    <col min="9222" max="9223" width="10.7109375" style="99"/>
    <col min="9224" max="9224" width="10" style="99" customWidth="1"/>
    <col min="9225" max="9225" width="21" style="99" customWidth="1"/>
    <col min="9226" max="9226" width="15.140625" style="99" customWidth="1"/>
    <col min="9227" max="9467" width="10.7109375" style="99"/>
    <col min="9468" max="9468" width="10" style="99" customWidth="1"/>
    <col min="9469" max="9469" width="38.42578125" style="99" customWidth="1"/>
    <col min="9470" max="9470" width="0" style="99" hidden="1" customWidth="1"/>
    <col min="9471" max="9471" width="9.7109375" style="99" customWidth="1"/>
    <col min="9472" max="9472" width="0" style="99" hidden="1" customWidth="1"/>
    <col min="9473" max="9473" width="10.140625" style="99" customWidth="1"/>
    <col min="9474" max="9474" width="10.7109375" style="99"/>
    <col min="9475" max="9475" width="11" style="99" customWidth="1"/>
    <col min="9476" max="9476" width="10.7109375" style="99"/>
    <col min="9477" max="9477" width="0" style="99" hidden="1" customWidth="1"/>
    <col min="9478" max="9479" width="10.7109375" style="99"/>
    <col min="9480" max="9480" width="10" style="99" customWidth="1"/>
    <col min="9481" max="9481" width="21" style="99" customWidth="1"/>
    <col min="9482" max="9482" width="15.140625" style="99" customWidth="1"/>
    <col min="9483" max="9723" width="10.7109375" style="99"/>
    <col min="9724" max="9724" width="10" style="99" customWidth="1"/>
    <col min="9725" max="9725" width="38.42578125" style="99" customWidth="1"/>
    <col min="9726" max="9726" width="0" style="99" hidden="1" customWidth="1"/>
    <col min="9727" max="9727" width="9.7109375" style="99" customWidth="1"/>
    <col min="9728" max="9728" width="0" style="99" hidden="1" customWidth="1"/>
    <col min="9729" max="9729" width="10.140625" style="99" customWidth="1"/>
    <col min="9730" max="9730" width="10.7109375" style="99"/>
    <col min="9731" max="9731" width="11" style="99" customWidth="1"/>
    <col min="9732" max="9732" width="10.7109375" style="99"/>
    <col min="9733" max="9733" width="0" style="99" hidden="1" customWidth="1"/>
    <col min="9734" max="9735" width="10.7109375" style="99"/>
    <col min="9736" max="9736" width="10" style="99" customWidth="1"/>
    <col min="9737" max="9737" width="21" style="99" customWidth="1"/>
    <col min="9738" max="9738" width="15.140625" style="99" customWidth="1"/>
    <col min="9739" max="9979" width="10.7109375" style="99"/>
    <col min="9980" max="9980" width="10" style="99" customWidth="1"/>
    <col min="9981" max="9981" width="38.42578125" style="99" customWidth="1"/>
    <col min="9982" max="9982" width="0" style="99" hidden="1" customWidth="1"/>
    <col min="9983" max="9983" width="9.7109375" style="99" customWidth="1"/>
    <col min="9984" max="9984" width="0" style="99" hidden="1" customWidth="1"/>
    <col min="9985" max="9985" width="10.140625" style="99" customWidth="1"/>
    <col min="9986" max="9986" width="10.7109375" style="99"/>
    <col min="9987" max="9987" width="11" style="99" customWidth="1"/>
    <col min="9988" max="9988" width="10.7109375" style="99"/>
    <col min="9989" max="9989" width="0" style="99" hidden="1" customWidth="1"/>
    <col min="9990" max="9991" width="10.7109375" style="99"/>
    <col min="9992" max="9992" width="10" style="99" customWidth="1"/>
    <col min="9993" max="9993" width="21" style="99" customWidth="1"/>
    <col min="9994" max="9994" width="15.140625" style="99" customWidth="1"/>
    <col min="9995" max="10235" width="10.7109375" style="99"/>
    <col min="10236" max="10236" width="10" style="99" customWidth="1"/>
    <col min="10237" max="10237" width="38.42578125" style="99" customWidth="1"/>
    <col min="10238" max="10238" width="0" style="99" hidden="1" customWidth="1"/>
    <col min="10239" max="10239" width="9.7109375" style="99" customWidth="1"/>
    <col min="10240" max="10240" width="0" style="99" hidden="1" customWidth="1"/>
    <col min="10241" max="10241" width="10.140625" style="99" customWidth="1"/>
    <col min="10242" max="10242" width="10.7109375" style="99"/>
    <col min="10243" max="10243" width="11" style="99" customWidth="1"/>
    <col min="10244" max="10244" width="10.7109375" style="99"/>
    <col min="10245" max="10245" width="0" style="99" hidden="1" customWidth="1"/>
    <col min="10246" max="10247" width="10.7109375" style="99"/>
    <col min="10248" max="10248" width="10" style="99" customWidth="1"/>
    <col min="10249" max="10249" width="21" style="99" customWidth="1"/>
    <col min="10250" max="10250" width="15.140625" style="99" customWidth="1"/>
    <col min="10251" max="10491" width="10.7109375" style="99"/>
    <col min="10492" max="10492" width="10" style="99" customWidth="1"/>
    <col min="10493" max="10493" width="38.42578125" style="99" customWidth="1"/>
    <col min="10494" max="10494" width="0" style="99" hidden="1" customWidth="1"/>
    <col min="10495" max="10495" width="9.7109375" style="99" customWidth="1"/>
    <col min="10496" max="10496" width="0" style="99" hidden="1" customWidth="1"/>
    <col min="10497" max="10497" width="10.140625" style="99" customWidth="1"/>
    <col min="10498" max="10498" width="10.7109375" style="99"/>
    <col min="10499" max="10499" width="11" style="99" customWidth="1"/>
    <col min="10500" max="10500" width="10.7109375" style="99"/>
    <col min="10501" max="10501" width="0" style="99" hidden="1" customWidth="1"/>
    <col min="10502" max="10503" width="10.7109375" style="99"/>
    <col min="10504" max="10504" width="10" style="99" customWidth="1"/>
    <col min="10505" max="10505" width="21" style="99" customWidth="1"/>
    <col min="10506" max="10506" width="15.140625" style="99" customWidth="1"/>
    <col min="10507" max="10747" width="10.7109375" style="99"/>
    <col min="10748" max="10748" width="10" style="99" customWidth="1"/>
    <col min="10749" max="10749" width="38.42578125" style="99" customWidth="1"/>
    <col min="10750" max="10750" width="0" style="99" hidden="1" customWidth="1"/>
    <col min="10751" max="10751" width="9.7109375" style="99" customWidth="1"/>
    <col min="10752" max="10752" width="0" style="99" hidden="1" customWidth="1"/>
    <col min="10753" max="10753" width="10.140625" style="99" customWidth="1"/>
    <col min="10754" max="10754" width="10.7109375" style="99"/>
    <col min="10755" max="10755" width="11" style="99" customWidth="1"/>
    <col min="10756" max="10756" width="10.7109375" style="99"/>
    <col min="10757" max="10757" width="0" style="99" hidden="1" customWidth="1"/>
    <col min="10758" max="10759" width="10.7109375" style="99"/>
    <col min="10760" max="10760" width="10" style="99" customWidth="1"/>
    <col min="10761" max="10761" width="21" style="99" customWidth="1"/>
    <col min="10762" max="10762" width="15.140625" style="99" customWidth="1"/>
    <col min="10763" max="11003" width="10.7109375" style="99"/>
    <col min="11004" max="11004" width="10" style="99" customWidth="1"/>
    <col min="11005" max="11005" width="38.42578125" style="99" customWidth="1"/>
    <col min="11006" max="11006" width="0" style="99" hidden="1" customWidth="1"/>
    <col min="11007" max="11007" width="9.7109375" style="99" customWidth="1"/>
    <col min="11008" max="11008" width="0" style="99" hidden="1" customWidth="1"/>
    <col min="11009" max="11009" width="10.140625" style="99" customWidth="1"/>
    <col min="11010" max="11010" width="10.7109375" style="99"/>
    <col min="11011" max="11011" width="11" style="99" customWidth="1"/>
    <col min="11012" max="11012" width="10.7109375" style="99"/>
    <col min="11013" max="11013" width="0" style="99" hidden="1" customWidth="1"/>
    <col min="11014" max="11015" width="10.7109375" style="99"/>
    <col min="11016" max="11016" width="10" style="99" customWidth="1"/>
    <col min="11017" max="11017" width="21" style="99" customWidth="1"/>
    <col min="11018" max="11018" width="15.140625" style="99" customWidth="1"/>
    <col min="11019" max="11259" width="10.7109375" style="99"/>
    <col min="11260" max="11260" width="10" style="99" customWidth="1"/>
    <col min="11261" max="11261" width="38.42578125" style="99" customWidth="1"/>
    <col min="11262" max="11262" width="0" style="99" hidden="1" customWidth="1"/>
    <col min="11263" max="11263" width="9.7109375" style="99" customWidth="1"/>
    <col min="11264" max="11264" width="0" style="99" hidden="1" customWidth="1"/>
    <col min="11265" max="11265" width="10.140625" style="99" customWidth="1"/>
    <col min="11266" max="11266" width="10.7109375" style="99"/>
    <col min="11267" max="11267" width="11" style="99" customWidth="1"/>
    <col min="11268" max="11268" width="10.7109375" style="99"/>
    <col min="11269" max="11269" width="0" style="99" hidden="1" customWidth="1"/>
    <col min="11270" max="11271" width="10.7109375" style="99"/>
    <col min="11272" max="11272" width="10" style="99" customWidth="1"/>
    <col min="11273" max="11273" width="21" style="99" customWidth="1"/>
    <col min="11274" max="11274" width="15.140625" style="99" customWidth="1"/>
    <col min="11275" max="11515" width="10.7109375" style="99"/>
    <col min="11516" max="11516" width="10" style="99" customWidth="1"/>
    <col min="11517" max="11517" width="38.42578125" style="99" customWidth="1"/>
    <col min="11518" max="11518" width="0" style="99" hidden="1" customWidth="1"/>
    <col min="11519" max="11519" width="9.7109375" style="99" customWidth="1"/>
    <col min="11520" max="11520" width="0" style="99" hidden="1" customWidth="1"/>
    <col min="11521" max="11521" width="10.140625" style="99" customWidth="1"/>
    <col min="11522" max="11522" width="10.7109375" style="99"/>
    <col min="11523" max="11523" width="11" style="99" customWidth="1"/>
    <col min="11524" max="11524" width="10.7109375" style="99"/>
    <col min="11525" max="11525" width="0" style="99" hidden="1" customWidth="1"/>
    <col min="11526" max="11527" width="10.7109375" style="99"/>
    <col min="11528" max="11528" width="10" style="99" customWidth="1"/>
    <col min="11529" max="11529" width="21" style="99" customWidth="1"/>
    <col min="11530" max="11530" width="15.140625" style="99" customWidth="1"/>
    <col min="11531" max="11771" width="10.7109375" style="99"/>
    <col min="11772" max="11772" width="10" style="99" customWidth="1"/>
    <col min="11773" max="11773" width="38.42578125" style="99" customWidth="1"/>
    <col min="11774" max="11774" width="0" style="99" hidden="1" customWidth="1"/>
    <col min="11775" max="11775" width="9.7109375" style="99" customWidth="1"/>
    <col min="11776" max="11776" width="0" style="99" hidden="1" customWidth="1"/>
    <col min="11777" max="11777" width="10.140625" style="99" customWidth="1"/>
    <col min="11778" max="11778" width="10.7109375" style="99"/>
    <col min="11779" max="11779" width="11" style="99" customWidth="1"/>
    <col min="11780" max="11780" width="10.7109375" style="99"/>
    <col min="11781" max="11781" width="0" style="99" hidden="1" customWidth="1"/>
    <col min="11782" max="11783" width="10.7109375" style="99"/>
    <col min="11784" max="11784" width="10" style="99" customWidth="1"/>
    <col min="11785" max="11785" width="21" style="99" customWidth="1"/>
    <col min="11786" max="11786" width="15.140625" style="99" customWidth="1"/>
    <col min="11787" max="12027" width="10.7109375" style="99"/>
    <col min="12028" max="12028" width="10" style="99" customWidth="1"/>
    <col min="12029" max="12029" width="38.42578125" style="99" customWidth="1"/>
    <col min="12030" max="12030" width="0" style="99" hidden="1" customWidth="1"/>
    <col min="12031" max="12031" width="9.7109375" style="99" customWidth="1"/>
    <col min="12032" max="12032" width="0" style="99" hidden="1" customWidth="1"/>
    <col min="12033" max="12033" width="10.140625" style="99" customWidth="1"/>
    <col min="12034" max="12034" width="10.7109375" style="99"/>
    <col min="12035" max="12035" width="11" style="99" customWidth="1"/>
    <col min="12036" max="12036" width="10.7109375" style="99"/>
    <col min="12037" max="12037" width="0" style="99" hidden="1" customWidth="1"/>
    <col min="12038" max="12039" width="10.7109375" style="99"/>
    <col min="12040" max="12040" width="10" style="99" customWidth="1"/>
    <col min="12041" max="12041" width="21" style="99" customWidth="1"/>
    <col min="12042" max="12042" width="15.140625" style="99" customWidth="1"/>
    <col min="12043" max="12283" width="10.7109375" style="99"/>
    <col min="12284" max="12284" width="10" style="99" customWidth="1"/>
    <col min="12285" max="12285" width="38.42578125" style="99" customWidth="1"/>
    <col min="12286" max="12286" width="0" style="99" hidden="1" customWidth="1"/>
    <col min="12287" max="12287" width="9.7109375" style="99" customWidth="1"/>
    <col min="12288" max="12288" width="0" style="99" hidden="1" customWidth="1"/>
    <col min="12289" max="12289" width="10.140625" style="99" customWidth="1"/>
    <col min="12290" max="12290" width="10.7109375" style="99"/>
    <col min="12291" max="12291" width="11" style="99" customWidth="1"/>
    <col min="12292" max="12292" width="10.7109375" style="99"/>
    <col min="12293" max="12293" width="0" style="99" hidden="1" customWidth="1"/>
    <col min="12294" max="12295" width="10.7109375" style="99"/>
    <col min="12296" max="12296" width="10" style="99" customWidth="1"/>
    <col min="12297" max="12297" width="21" style="99" customWidth="1"/>
    <col min="12298" max="12298" width="15.140625" style="99" customWidth="1"/>
    <col min="12299" max="12539" width="10.7109375" style="99"/>
    <col min="12540" max="12540" width="10" style="99" customWidth="1"/>
    <col min="12541" max="12541" width="38.42578125" style="99" customWidth="1"/>
    <col min="12542" max="12542" width="0" style="99" hidden="1" customWidth="1"/>
    <col min="12543" max="12543" width="9.7109375" style="99" customWidth="1"/>
    <col min="12544" max="12544" width="0" style="99" hidden="1" customWidth="1"/>
    <col min="12545" max="12545" width="10.140625" style="99" customWidth="1"/>
    <col min="12546" max="12546" width="10.7109375" style="99"/>
    <col min="12547" max="12547" width="11" style="99" customWidth="1"/>
    <col min="12548" max="12548" width="10.7109375" style="99"/>
    <col min="12549" max="12549" width="0" style="99" hidden="1" customWidth="1"/>
    <col min="12550" max="12551" width="10.7109375" style="99"/>
    <col min="12552" max="12552" width="10" style="99" customWidth="1"/>
    <col min="12553" max="12553" width="21" style="99" customWidth="1"/>
    <col min="12554" max="12554" width="15.140625" style="99" customWidth="1"/>
    <col min="12555" max="12795" width="10.7109375" style="99"/>
    <col min="12796" max="12796" width="10" style="99" customWidth="1"/>
    <col min="12797" max="12797" width="38.42578125" style="99" customWidth="1"/>
    <col min="12798" max="12798" width="0" style="99" hidden="1" customWidth="1"/>
    <col min="12799" max="12799" width="9.7109375" style="99" customWidth="1"/>
    <col min="12800" max="12800" width="0" style="99" hidden="1" customWidth="1"/>
    <col min="12801" max="12801" width="10.140625" style="99" customWidth="1"/>
    <col min="12802" max="12802" width="10.7109375" style="99"/>
    <col min="12803" max="12803" width="11" style="99" customWidth="1"/>
    <col min="12804" max="12804" width="10.7109375" style="99"/>
    <col min="12805" max="12805" width="0" style="99" hidden="1" customWidth="1"/>
    <col min="12806" max="12807" width="10.7109375" style="99"/>
    <col min="12808" max="12808" width="10" style="99" customWidth="1"/>
    <col min="12809" max="12809" width="21" style="99" customWidth="1"/>
    <col min="12810" max="12810" width="15.140625" style="99" customWidth="1"/>
    <col min="12811" max="13051" width="10.7109375" style="99"/>
    <col min="13052" max="13052" width="10" style="99" customWidth="1"/>
    <col min="13053" max="13053" width="38.42578125" style="99" customWidth="1"/>
    <col min="13054" max="13054" width="0" style="99" hidden="1" customWidth="1"/>
    <col min="13055" max="13055" width="9.7109375" style="99" customWidth="1"/>
    <col min="13056" max="13056" width="0" style="99" hidden="1" customWidth="1"/>
    <col min="13057" max="13057" width="10.140625" style="99" customWidth="1"/>
    <col min="13058" max="13058" width="10.7109375" style="99"/>
    <col min="13059" max="13059" width="11" style="99" customWidth="1"/>
    <col min="13060" max="13060" width="10.7109375" style="99"/>
    <col min="13061" max="13061" width="0" style="99" hidden="1" customWidth="1"/>
    <col min="13062" max="13063" width="10.7109375" style="99"/>
    <col min="13064" max="13064" width="10" style="99" customWidth="1"/>
    <col min="13065" max="13065" width="21" style="99" customWidth="1"/>
    <col min="13066" max="13066" width="15.140625" style="99" customWidth="1"/>
    <col min="13067" max="13307" width="10.7109375" style="99"/>
    <col min="13308" max="13308" width="10" style="99" customWidth="1"/>
    <col min="13309" max="13309" width="38.42578125" style="99" customWidth="1"/>
    <col min="13310" max="13310" width="0" style="99" hidden="1" customWidth="1"/>
    <col min="13311" max="13311" width="9.7109375" style="99" customWidth="1"/>
    <col min="13312" max="13312" width="0" style="99" hidden="1" customWidth="1"/>
    <col min="13313" max="13313" width="10.140625" style="99" customWidth="1"/>
    <col min="13314" max="13314" width="10.7109375" style="99"/>
    <col min="13315" max="13315" width="11" style="99" customWidth="1"/>
    <col min="13316" max="13316" width="10.7109375" style="99"/>
    <col min="13317" max="13317" width="0" style="99" hidden="1" customWidth="1"/>
    <col min="13318" max="13319" width="10.7109375" style="99"/>
    <col min="13320" max="13320" width="10" style="99" customWidth="1"/>
    <col min="13321" max="13321" width="21" style="99" customWidth="1"/>
    <col min="13322" max="13322" width="15.140625" style="99" customWidth="1"/>
    <col min="13323" max="13563" width="10.7109375" style="99"/>
    <col min="13564" max="13564" width="10" style="99" customWidth="1"/>
    <col min="13565" max="13565" width="38.42578125" style="99" customWidth="1"/>
    <col min="13566" max="13566" width="0" style="99" hidden="1" customWidth="1"/>
    <col min="13567" max="13567" width="9.7109375" style="99" customWidth="1"/>
    <col min="13568" max="13568" width="0" style="99" hidden="1" customWidth="1"/>
    <col min="13569" max="13569" width="10.140625" style="99" customWidth="1"/>
    <col min="13570" max="13570" width="10.7109375" style="99"/>
    <col min="13571" max="13571" width="11" style="99" customWidth="1"/>
    <col min="13572" max="13572" width="10.7109375" style="99"/>
    <col min="13573" max="13573" width="0" style="99" hidden="1" customWidth="1"/>
    <col min="13574" max="13575" width="10.7109375" style="99"/>
    <col min="13576" max="13576" width="10" style="99" customWidth="1"/>
    <col min="13577" max="13577" width="21" style="99" customWidth="1"/>
    <col min="13578" max="13578" width="15.140625" style="99" customWidth="1"/>
    <col min="13579" max="13819" width="10.7109375" style="99"/>
    <col min="13820" max="13820" width="10" style="99" customWidth="1"/>
    <col min="13821" max="13821" width="38.42578125" style="99" customWidth="1"/>
    <col min="13822" max="13822" width="0" style="99" hidden="1" customWidth="1"/>
    <col min="13823" max="13823" width="9.7109375" style="99" customWidth="1"/>
    <col min="13824" max="13824" width="0" style="99" hidden="1" customWidth="1"/>
    <col min="13825" max="13825" width="10.140625" style="99" customWidth="1"/>
    <col min="13826" max="13826" width="10.7109375" style="99"/>
    <col min="13827" max="13827" width="11" style="99" customWidth="1"/>
    <col min="13828" max="13828" width="10.7109375" style="99"/>
    <col min="13829" max="13829" width="0" style="99" hidden="1" customWidth="1"/>
    <col min="13830" max="13831" width="10.7109375" style="99"/>
    <col min="13832" max="13832" width="10" style="99" customWidth="1"/>
    <col min="13833" max="13833" width="21" style="99" customWidth="1"/>
    <col min="13834" max="13834" width="15.140625" style="99" customWidth="1"/>
    <col min="13835" max="14075" width="10.7109375" style="99"/>
    <col min="14076" max="14076" width="10" style="99" customWidth="1"/>
    <col min="14077" max="14077" width="38.42578125" style="99" customWidth="1"/>
    <col min="14078" max="14078" width="0" style="99" hidden="1" customWidth="1"/>
    <col min="14079" max="14079" width="9.7109375" style="99" customWidth="1"/>
    <col min="14080" max="14080" width="0" style="99" hidden="1" customWidth="1"/>
    <col min="14081" max="14081" width="10.140625" style="99" customWidth="1"/>
    <col min="14082" max="14082" width="10.7109375" style="99"/>
    <col min="14083" max="14083" width="11" style="99" customWidth="1"/>
    <col min="14084" max="14084" width="10.7109375" style="99"/>
    <col min="14085" max="14085" width="0" style="99" hidden="1" customWidth="1"/>
    <col min="14086" max="14087" width="10.7109375" style="99"/>
    <col min="14088" max="14088" width="10" style="99" customWidth="1"/>
    <col min="14089" max="14089" width="21" style="99" customWidth="1"/>
    <col min="14090" max="14090" width="15.140625" style="99" customWidth="1"/>
    <col min="14091" max="14331" width="10.7109375" style="99"/>
    <col min="14332" max="14332" width="10" style="99" customWidth="1"/>
    <col min="14333" max="14333" width="38.42578125" style="99" customWidth="1"/>
    <col min="14334" max="14334" width="0" style="99" hidden="1" customWidth="1"/>
    <col min="14335" max="14335" width="9.7109375" style="99" customWidth="1"/>
    <col min="14336" max="14336" width="0" style="99" hidden="1" customWidth="1"/>
    <col min="14337" max="14337" width="10.140625" style="99" customWidth="1"/>
    <col min="14338" max="14338" width="10.7109375" style="99"/>
    <col min="14339" max="14339" width="11" style="99" customWidth="1"/>
    <col min="14340" max="14340" width="10.7109375" style="99"/>
    <col min="14341" max="14341" width="0" style="99" hidden="1" customWidth="1"/>
    <col min="14342" max="14343" width="10.7109375" style="99"/>
    <col min="14344" max="14344" width="10" style="99" customWidth="1"/>
    <col min="14345" max="14345" width="21" style="99" customWidth="1"/>
    <col min="14346" max="14346" width="15.140625" style="99" customWidth="1"/>
    <col min="14347" max="14587" width="10.7109375" style="99"/>
    <col min="14588" max="14588" width="10" style="99" customWidth="1"/>
    <col min="14589" max="14589" width="38.42578125" style="99" customWidth="1"/>
    <col min="14590" max="14590" width="0" style="99" hidden="1" customWidth="1"/>
    <col min="14591" max="14591" width="9.7109375" style="99" customWidth="1"/>
    <col min="14592" max="14592" width="0" style="99" hidden="1" customWidth="1"/>
    <col min="14593" max="14593" width="10.140625" style="99" customWidth="1"/>
    <col min="14594" max="14594" width="10.7109375" style="99"/>
    <col min="14595" max="14595" width="11" style="99" customWidth="1"/>
    <col min="14596" max="14596" width="10.7109375" style="99"/>
    <col min="14597" max="14597" width="0" style="99" hidden="1" customWidth="1"/>
    <col min="14598" max="14599" width="10.7109375" style="99"/>
    <col min="14600" max="14600" width="10" style="99" customWidth="1"/>
    <col min="14601" max="14601" width="21" style="99" customWidth="1"/>
    <col min="14602" max="14602" width="15.140625" style="99" customWidth="1"/>
    <col min="14603" max="14843" width="10.7109375" style="99"/>
    <col min="14844" max="14844" width="10" style="99" customWidth="1"/>
    <col min="14845" max="14845" width="38.42578125" style="99" customWidth="1"/>
    <col min="14846" max="14846" width="0" style="99" hidden="1" customWidth="1"/>
    <col min="14847" max="14847" width="9.7109375" style="99" customWidth="1"/>
    <col min="14848" max="14848" width="0" style="99" hidden="1" customWidth="1"/>
    <col min="14849" max="14849" width="10.140625" style="99" customWidth="1"/>
    <col min="14850" max="14850" width="10.7109375" style="99"/>
    <col min="14851" max="14851" width="11" style="99" customWidth="1"/>
    <col min="14852" max="14852" width="10.7109375" style="99"/>
    <col min="14853" max="14853" width="0" style="99" hidden="1" customWidth="1"/>
    <col min="14854" max="14855" width="10.7109375" style="99"/>
    <col min="14856" max="14856" width="10" style="99" customWidth="1"/>
    <col min="14857" max="14857" width="21" style="99" customWidth="1"/>
    <col min="14858" max="14858" width="15.140625" style="99" customWidth="1"/>
    <col min="14859" max="15099" width="10.7109375" style="99"/>
    <col min="15100" max="15100" width="10" style="99" customWidth="1"/>
    <col min="15101" max="15101" width="38.42578125" style="99" customWidth="1"/>
    <col min="15102" max="15102" width="0" style="99" hidden="1" customWidth="1"/>
    <col min="15103" max="15103" width="9.7109375" style="99" customWidth="1"/>
    <col min="15104" max="15104" width="0" style="99" hidden="1" customWidth="1"/>
    <col min="15105" max="15105" width="10.140625" style="99" customWidth="1"/>
    <col min="15106" max="15106" width="10.7109375" style="99"/>
    <col min="15107" max="15107" width="11" style="99" customWidth="1"/>
    <col min="15108" max="15108" width="10.7109375" style="99"/>
    <col min="15109" max="15109" width="0" style="99" hidden="1" customWidth="1"/>
    <col min="15110" max="15111" width="10.7109375" style="99"/>
    <col min="15112" max="15112" width="10" style="99" customWidth="1"/>
    <col min="15113" max="15113" width="21" style="99" customWidth="1"/>
    <col min="15114" max="15114" width="15.140625" style="99" customWidth="1"/>
    <col min="15115" max="15355" width="10.7109375" style="99"/>
    <col min="15356" max="15356" width="10" style="99" customWidth="1"/>
    <col min="15357" max="15357" width="38.42578125" style="99" customWidth="1"/>
    <col min="15358" max="15358" width="0" style="99" hidden="1" customWidth="1"/>
    <col min="15359" max="15359" width="9.7109375" style="99" customWidth="1"/>
    <col min="15360" max="15360" width="0" style="99" hidden="1" customWidth="1"/>
    <col min="15361" max="15361" width="10.140625" style="99" customWidth="1"/>
    <col min="15362" max="15362" width="10.7109375" style="99"/>
    <col min="15363" max="15363" width="11" style="99" customWidth="1"/>
    <col min="15364" max="15364" width="10.7109375" style="99"/>
    <col min="15365" max="15365" width="0" style="99" hidden="1" customWidth="1"/>
    <col min="15366" max="15367" width="10.7109375" style="99"/>
    <col min="15368" max="15368" width="10" style="99" customWidth="1"/>
    <col min="15369" max="15369" width="21" style="99" customWidth="1"/>
    <col min="15370" max="15370" width="15.140625" style="99" customWidth="1"/>
    <col min="15371" max="15611" width="10.7109375" style="99"/>
    <col min="15612" max="15612" width="10" style="99" customWidth="1"/>
    <col min="15613" max="15613" width="38.42578125" style="99" customWidth="1"/>
    <col min="15614" max="15614" width="0" style="99" hidden="1" customWidth="1"/>
    <col min="15615" max="15615" width="9.7109375" style="99" customWidth="1"/>
    <col min="15616" max="15616" width="0" style="99" hidden="1" customWidth="1"/>
    <col min="15617" max="15617" width="10.140625" style="99" customWidth="1"/>
    <col min="15618" max="15618" width="10.7109375" style="99"/>
    <col min="15619" max="15619" width="11" style="99" customWidth="1"/>
    <col min="15620" max="15620" width="10.7109375" style="99"/>
    <col min="15621" max="15621" width="0" style="99" hidden="1" customWidth="1"/>
    <col min="15622" max="15623" width="10.7109375" style="99"/>
    <col min="15624" max="15624" width="10" style="99" customWidth="1"/>
    <col min="15625" max="15625" width="21" style="99" customWidth="1"/>
    <col min="15626" max="15626" width="15.140625" style="99" customWidth="1"/>
    <col min="15627" max="15867" width="10.7109375" style="99"/>
    <col min="15868" max="15868" width="10" style="99" customWidth="1"/>
    <col min="15869" max="15869" width="38.42578125" style="99" customWidth="1"/>
    <col min="15870" max="15870" width="0" style="99" hidden="1" customWidth="1"/>
    <col min="15871" max="15871" width="9.7109375" style="99" customWidth="1"/>
    <col min="15872" max="15872" width="0" style="99" hidden="1" customWidth="1"/>
    <col min="15873" max="15873" width="10.140625" style="99" customWidth="1"/>
    <col min="15874" max="15874" width="10.7109375" style="99"/>
    <col min="15875" max="15875" width="11" style="99" customWidth="1"/>
    <col min="15876" max="15876" width="10.7109375" style="99"/>
    <col min="15877" max="15877" width="0" style="99" hidden="1" customWidth="1"/>
    <col min="15878" max="15879" width="10.7109375" style="99"/>
    <col min="15880" max="15880" width="10" style="99" customWidth="1"/>
    <col min="15881" max="15881" width="21" style="99" customWidth="1"/>
    <col min="15882" max="15882" width="15.140625" style="99" customWidth="1"/>
    <col min="15883" max="16123" width="10.7109375" style="99"/>
    <col min="16124" max="16124" width="10" style="99" customWidth="1"/>
    <col min="16125" max="16125" width="38.42578125" style="99" customWidth="1"/>
    <col min="16126" max="16126" width="0" style="99" hidden="1" customWidth="1"/>
    <col min="16127" max="16127" width="9.7109375" style="99" customWidth="1"/>
    <col min="16128" max="16128" width="0" style="99" hidden="1" customWidth="1"/>
    <col min="16129" max="16129" width="10.140625" style="99" customWidth="1"/>
    <col min="16130" max="16130" width="10.7109375" style="99"/>
    <col min="16131" max="16131" width="11" style="99" customWidth="1"/>
    <col min="16132" max="16132" width="10.7109375" style="99"/>
    <col min="16133" max="16133" width="0" style="99" hidden="1" customWidth="1"/>
    <col min="16134" max="16135" width="10.7109375" style="99"/>
    <col min="16136" max="16136" width="10" style="99" customWidth="1"/>
    <col min="16137" max="16137" width="21" style="99" customWidth="1"/>
    <col min="16138" max="16138" width="15.140625" style="99" customWidth="1"/>
    <col min="16139" max="16384" width="10.7109375" style="99"/>
  </cols>
  <sheetData>
    <row r="1" spans="1:29" s="97" customFormat="1" x14ac:dyDescent="0.3">
      <c r="E1" s="98"/>
      <c r="I1" s="98"/>
    </row>
    <row r="2" spans="1:29" ht="36" customHeight="1" x14ac:dyDescent="0.3">
      <c r="B2" s="440" t="s">
        <v>64</v>
      </c>
      <c r="C2" s="440" t="s">
        <v>24</v>
      </c>
      <c r="D2" s="440" t="s">
        <v>229</v>
      </c>
      <c r="E2" s="441" t="s">
        <v>441</v>
      </c>
      <c r="F2" s="442"/>
      <c r="G2" s="442"/>
      <c r="H2" s="442"/>
      <c r="I2" s="442"/>
      <c r="J2" s="442"/>
      <c r="K2" s="442"/>
      <c r="L2" s="442"/>
      <c r="M2" s="440" t="s">
        <v>17</v>
      </c>
    </row>
    <row r="3" spans="1:29" ht="33" customHeight="1" x14ac:dyDescent="0.3">
      <c r="B3" s="440"/>
      <c r="C3" s="440"/>
      <c r="D3" s="440"/>
      <c r="E3" s="443" t="s">
        <v>70</v>
      </c>
      <c r="F3" s="443"/>
      <c r="G3" s="443"/>
      <c r="H3" s="443"/>
      <c r="I3" s="443" t="s">
        <v>205</v>
      </c>
      <c r="J3" s="443"/>
      <c r="K3" s="440"/>
      <c r="L3" s="440"/>
      <c r="M3" s="440"/>
    </row>
    <row r="4" spans="1:29" ht="33" customHeight="1" x14ac:dyDescent="0.3">
      <c r="B4" s="440"/>
      <c r="C4" s="440"/>
      <c r="D4" s="248" t="s">
        <v>65</v>
      </c>
      <c r="E4" s="247" t="s">
        <v>66</v>
      </c>
      <c r="F4" s="247" t="s">
        <v>67</v>
      </c>
      <c r="G4" s="247" t="s">
        <v>197</v>
      </c>
      <c r="H4" s="247" t="s">
        <v>68</v>
      </c>
      <c r="I4" s="247" t="s">
        <v>66</v>
      </c>
      <c r="J4" s="247" t="s">
        <v>67</v>
      </c>
      <c r="K4" s="247" t="s">
        <v>197</v>
      </c>
      <c r="L4" s="249" t="s">
        <v>68</v>
      </c>
      <c r="M4" s="440"/>
    </row>
    <row r="5" spans="1:29" ht="36" customHeight="1" x14ac:dyDescent="0.3">
      <c r="B5" s="100">
        <v>1</v>
      </c>
      <c r="C5" s="84" t="s">
        <v>132</v>
      </c>
      <c r="D5" s="101" t="s">
        <v>69</v>
      </c>
      <c r="E5" s="254">
        <v>185</v>
      </c>
      <c r="F5" s="118">
        <f>Report!G3</f>
        <v>1843</v>
      </c>
      <c r="G5" s="119">
        <f t="shared" ref="G5:G19" si="0">E5/F5</f>
        <v>0.10037981551817689</v>
      </c>
      <c r="H5" s="120">
        <f>F5*5/100</f>
        <v>92.15</v>
      </c>
      <c r="I5" s="254"/>
      <c r="J5" s="118">
        <f>F5</f>
        <v>1843</v>
      </c>
      <c r="K5" s="121">
        <f>I5/J5</f>
        <v>0</v>
      </c>
      <c r="L5" s="120">
        <f>J5*5/100</f>
        <v>92.15</v>
      </c>
      <c r="M5" s="102"/>
    </row>
    <row r="6" spans="1:29" ht="36" customHeight="1" x14ac:dyDescent="0.3">
      <c r="B6" s="100">
        <v>2</v>
      </c>
      <c r="C6" s="84" t="s">
        <v>138</v>
      </c>
      <c r="D6" s="101" t="s">
        <v>69</v>
      </c>
      <c r="E6" s="254">
        <v>297</v>
      </c>
      <c r="F6" s="118">
        <f>Report!G4</f>
        <v>1662</v>
      </c>
      <c r="G6" s="119">
        <f t="shared" si="0"/>
        <v>0.17870036101083034</v>
      </c>
      <c r="H6" s="120">
        <f t="shared" ref="H6:H19" si="1">F6*5/100</f>
        <v>83.1</v>
      </c>
      <c r="I6" s="254"/>
      <c r="J6" s="118">
        <f t="shared" ref="J6:J20" si="2">F6</f>
        <v>1662</v>
      </c>
      <c r="K6" s="121">
        <f t="shared" ref="K6:K18" si="3">I6/J6</f>
        <v>0</v>
      </c>
      <c r="L6" s="120">
        <f t="shared" ref="L6:L18" si="4">J6*5/100</f>
        <v>83.1</v>
      </c>
      <c r="M6" s="102"/>
    </row>
    <row r="7" spans="1:29" ht="36" customHeight="1" x14ac:dyDescent="0.3">
      <c r="B7" s="100">
        <v>3</v>
      </c>
      <c r="C7" s="84" t="s">
        <v>1</v>
      </c>
      <c r="D7" s="101" t="s">
        <v>69</v>
      </c>
      <c r="E7" s="254">
        <v>193</v>
      </c>
      <c r="F7" s="118">
        <f>Report!G5</f>
        <v>1757</v>
      </c>
      <c r="G7" s="119">
        <f t="shared" si="0"/>
        <v>0.10984632896983494</v>
      </c>
      <c r="H7" s="120">
        <f t="shared" si="1"/>
        <v>87.85</v>
      </c>
      <c r="I7" s="254"/>
      <c r="J7" s="118">
        <f t="shared" si="2"/>
        <v>1757</v>
      </c>
      <c r="K7" s="121">
        <f t="shared" si="3"/>
        <v>0</v>
      </c>
      <c r="L7" s="120">
        <f t="shared" si="4"/>
        <v>87.85</v>
      </c>
      <c r="M7" s="102"/>
    </row>
    <row r="8" spans="1:29" s="105" customFormat="1" ht="36" customHeight="1" x14ac:dyDescent="0.3">
      <c r="A8" s="103"/>
      <c r="B8" s="100">
        <v>4</v>
      </c>
      <c r="C8" s="84" t="s">
        <v>107</v>
      </c>
      <c r="D8" s="101" t="s">
        <v>69</v>
      </c>
      <c r="E8" s="254">
        <v>218</v>
      </c>
      <c r="F8" s="118">
        <f>Report!G6</f>
        <v>2478</v>
      </c>
      <c r="G8" s="366">
        <f t="shared" si="0"/>
        <v>8.7974172719935434E-2</v>
      </c>
      <c r="H8" s="120">
        <f t="shared" si="1"/>
        <v>123.9</v>
      </c>
      <c r="I8" s="254"/>
      <c r="J8" s="118">
        <f t="shared" si="2"/>
        <v>2478</v>
      </c>
      <c r="K8" s="121">
        <f t="shared" si="3"/>
        <v>0</v>
      </c>
      <c r="L8" s="120">
        <f t="shared" si="4"/>
        <v>123.9</v>
      </c>
      <c r="M8" s="104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</row>
    <row r="9" spans="1:29" ht="36" customHeight="1" x14ac:dyDescent="0.3">
      <c r="B9" s="100">
        <v>5</v>
      </c>
      <c r="C9" s="84" t="s">
        <v>158</v>
      </c>
      <c r="D9" s="101" t="s">
        <v>69</v>
      </c>
      <c r="E9" s="254">
        <v>154</v>
      </c>
      <c r="F9" s="118">
        <f>Report!G7</f>
        <v>1315</v>
      </c>
      <c r="G9" s="119">
        <f t="shared" si="0"/>
        <v>0.11711026615969582</v>
      </c>
      <c r="H9" s="120">
        <f t="shared" si="1"/>
        <v>65.75</v>
      </c>
      <c r="I9" s="254"/>
      <c r="J9" s="118">
        <f t="shared" si="2"/>
        <v>1315</v>
      </c>
      <c r="K9" s="121">
        <f t="shared" si="3"/>
        <v>0</v>
      </c>
      <c r="L9" s="120">
        <f t="shared" si="4"/>
        <v>65.75</v>
      </c>
      <c r="M9" s="102"/>
    </row>
    <row r="10" spans="1:29" ht="36" customHeight="1" x14ac:dyDescent="0.3">
      <c r="B10" s="100">
        <v>6</v>
      </c>
      <c r="C10" s="84" t="s">
        <v>196</v>
      </c>
      <c r="D10" s="101" t="s">
        <v>69</v>
      </c>
      <c r="E10" s="254">
        <v>132</v>
      </c>
      <c r="F10" s="118">
        <f>Report!G8</f>
        <v>1183</v>
      </c>
      <c r="G10" s="119">
        <f t="shared" si="0"/>
        <v>0.11158072696534235</v>
      </c>
      <c r="H10" s="120">
        <f t="shared" si="1"/>
        <v>59.15</v>
      </c>
      <c r="I10" s="254"/>
      <c r="J10" s="118">
        <f t="shared" si="2"/>
        <v>1183</v>
      </c>
      <c r="K10" s="121">
        <f t="shared" si="3"/>
        <v>0</v>
      </c>
      <c r="L10" s="120">
        <f t="shared" si="4"/>
        <v>59.15</v>
      </c>
      <c r="M10" s="102"/>
    </row>
    <row r="11" spans="1:29" s="105" customFormat="1" ht="36" customHeight="1" x14ac:dyDescent="0.3">
      <c r="A11" s="103"/>
      <c r="B11" s="100">
        <v>7</v>
      </c>
      <c r="C11" s="84" t="s">
        <v>246</v>
      </c>
      <c r="D11" s="101" t="s">
        <v>69</v>
      </c>
      <c r="E11" s="254">
        <v>245</v>
      </c>
      <c r="F11" s="118">
        <f>Report!G9</f>
        <v>3197</v>
      </c>
      <c r="G11" s="366">
        <f t="shared" si="0"/>
        <v>7.6634344698154513E-2</v>
      </c>
      <c r="H11" s="120">
        <f t="shared" si="1"/>
        <v>159.85</v>
      </c>
      <c r="I11" s="254"/>
      <c r="J11" s="118">
        <f t="shared" si="2"/>
        <v>3197</v>
      </c>
      <c r="K11" s="121">
        <f t="shared" si="3"/>
        <v>0</v>
      </c>
      <c r="L11" s="120">
        <f t="shared" si="4"/>
        <v>159.85</v>
      </c>
      <c r="M11" s="104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</row>
    <row r="12" spans="1:29" ht="36" customHeight="1" x14ac:dyDescent="0.3">
      <c r="B12" s="100">
        <v>8</v>
      </c>
      <c r="C12" s="84" t="s">
        <v>78</v>
      </c>
      <c r="D12" s="101" t="s">
        <v>69</v>
      </c>
      <c r="E12" s="254">
        <v>282</v>
      </c>
      <c r="F12" s="118">
        <f>Report!G11</f>
        <v>3688</v>
      </c>
      <c r="G12" s="366">
        <f t="shared" si="0"/>
        <v>7.646420824295011E-2</v>
      </c>
      <c r="H12" s="120">
        <f t="shared" si="1"/>
        <v>184.4</v>
      </c>
      <c r="I12" s="254"/>
      <c r="J12" s="118">
        <f t="shared" si="2"/>
        <v>3688</v>
      </c>
      <c r="K12" s="121">
        <f t="shared" si="3"/>
        <v>0</v>
      </c>
      <c r="L12" s="120">
        <f t="shared" si="4"/>
        <v>184.4</v>
      </c>
      <c r="M12" s="102"/>
    </row>
    <row r="13" spans="1:29" s="105" customFormat="1" ht="36" customHeight="1" x14ac:dyDescent="0.3">
      <c r="A13" s="103"/>
      <c r="B13" s="100">
        <v>9</v>
      </c>
      <c r="C13" s="84" t="s">
        <v>45</v>
      </c>
      <c r="D13" s="101" t="s">
        <v>69</v>
      </c>
      <c r="E13" s="254">
        <v>215</v>
      </c>
      <c r="F13" s="118">
        <f>Report!G12</f>
        <v>2259</v>
      </c>
      <c r="G13" s="366">
        <f t="shared" si="0"/>
        <v>9.5174856131031424E-2</v>
      </c>
      <c r="H13" s="120">
        <f t="shared" si="1"/>
        <v>112.95</v>
      </c>
      <c r="I13" s="254"/>
      <c r="J13" s="118">
        <f t="shared" si="2"/>
        <v>2259</v>
      </c>
      <c r="K13" s="121">
        <f t="shared" si="3"/>
        <v>0</v>
      </c>
      <c r="L13" s="120">
        <f t="shared" si="4"/>
        <v>112.95</v>
      </c>
      <c r="M13" s="102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</row>
    <row r="14" spans="1:29" ht="36" customHeight="1" x14ac:dyDescent="0.3">
      <c r="B14" s="100">
        <v>10</v>
      </c>
      <c r="C14" s="84" t="s">
        <v>80</v>
      </c>
      <c r="D14" s="101" t="s">
        <v>69</v>
      </c>
      <c r="E14" s="254">
        <v>288</v>
      </c>
      <c r="F14" s="118">
        <f>Report!G13</f>
        <v>1252</v>
      </c>
      <c r="G14" s="119">
        <f t="shared" si="0"/>
        <v>0.23003194888178913</v>
      </c>
      <c r="H14" s="120">
        <f t="shared" si="1"/>
        <v>62.6</v>
      </c>
      <c r="I14" s="254"/>
      <c r="J14" s="118">
        <f t="shared" si="2"/>
        <v>1252</v>
      </c>
      <c r="K14" s="121">
        <f t="shared" si="3"/>
        <v>0</v>
      </c>
      <c r="L14" s="120">
        <f t="shared" si="4"/>
        <v>62.6</v>
      </c>
      <c r="M14" s="102"/>
    </row>
    <row r="15" spans="1:29" ht="36" customHeight="1" x14ac:dyDescent="0.3">
      <c r="B15" s="100">
        <v>11</v>
      </c>
      <c r="C15" s="84" t="s">
        <v>111</v>
      </c>
      <c r="D15" s="383" t="s">
        <v>583</v>
      </c>
      <c r="E15" s="254">
        <v>259</v>
      </c>
      <c r="F15" s="118">
        <f>Report!G14</f>
        <v>3737</v>
      </c>
      <c r="G15" s="366">
        <f t="shared" si="0"/>
        <v>6.9306930693069313E-2</v>
      </c>
      <c r="H15" s="120">
        <f t="shared" si="1"/>
        <v>186.85</v>
      </c>
      <c r="I15" s="254"/>
      <c r="J15" s="118">
        <f t="shared" si="2"/>
        <v>3737</v>
      </c>
      <c r="K15" s="121">
        <f t="shared" si="3"/>
        <v>0</v>
      </c>
      <c r="L15" s="120">
        <f t="shared" si="4"/>
        <v>186.85</v>
      </c>
      <c r="M15" s="232"/>
    </row>
    <row r="16" spans="1:29" s="105" customFormat="1" ht="36" customHeight="1" x14ac:dyDescent="0.3">
      <c r="A16" s="103"/>
      <c r="B16" s="100">
        <v>12</v>
      </c>
      <c r="C16" s="84" t="s">
        <v>292</v>
      </c>
      <c r="D16" s="101" t="s">
        <v>69</v>
      </c>
      <c r="E16" s="254">
        <v>67</v>
      </c>
      <c r="F16" s="118">
        <f>Report!G15</f>
        <v>870</v>
      </c>
      <c r="G16" s="366">
        <f t="shared" si="0"/>
        <v>7.7011494252873569E-2</v>
      </c>
      <c r="H16" s="120">
        <f t="shared" si="1"/>
        <v>43.5</v>
      </c>
      <c r="I16" s="254"/>
      <c r="J16" s="118">
        <f t="shared" si="2"/>
        <v>870</v>
      </c>
      <c r="K16" s="121">
        <f t="shared" si="3"/>
        <v>0</v>
      </c>
      <c r="L16" s="120">
        <f t="shared" si="4"/>
        <v>43.5</v>
      </c>
      <c r="M16" s="232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</row>
    <row r="17" spans="1:37" s="105" customFormat="1" ht="36" customHeight="1" x14ac:dyDescent="0.3">
      <c r="A17" s="103"/>
      <c r="B17" s="100">
        <v>13</v>
      </c>
      <c r="C17" s="84" t="s">
        <v>306</v>
      </c>
      <c r="D17" s="101" t="s">
        <v>69</v>
      </c>
      <c r="E17" s="254">
        <v>325</v>
      </c>
      <c r="F17" s="118">
        <f>Report!G16</f>
        <v>2013</v>
      </c>
      <c r="G17" s="119">
        <f t="shared" si="0"/>
        <v>0.16145057128663687</v>
      </c>
      <c r="H17" s="120">
        <f t="shared" si="1"/>
        <v>100.65</v>
      </c>
      <c r="I17" s="254"/>
      <c r="J17" s="118">
        <f t="shared" si="2"/>
        <v>2013</v>
      </c>
      <c r="K17" s="121">
        <f t="shared" si="3"/>
        <v>0</v>
      </c>
      <c r="L17" s="120">
        <f t="shared" si="4"/>
        <v>100.65</v>
      </c>
      <c r="M17" s="23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</row>
    <row r="18" spans="1:37" s="105" customFormat="1" ht="36" customHeight="1" x14ac:dyDescent="0.3">
      <c r="A18" s="103"/>
      <c r="B18" s="100">
        <v>14</v>
      </c>
      <c r="C18" s="84" t="s">
        <v>361</v>
      </c>
      <c r="D18" s="101" t="s">
        <v>69</v>
      </c>
      <c r="E18" s="254">
        <v>96</v>
      </c>
      <c r="F18" s="118">
        <f>Report!G17</f>
        <v>742</v>
      </c>
      <c r="G18" s="119">
        <f t="shared" si="0"/>
        <v>0.1293800539083558</v>
      </c>
      <c r="H18" s="120">
        <f t="shared" si="1"/>
        <v>37.1</v>
      </c>
      <c r="I18" s="254"/>
      <c r="J18" s="118">
        <f t="shared" si="2"/>
        <v>742</v>
      </c>
      <c r="K18" s="121">
        <f t="shared" si="3"/>
        <v>0</v>
      </c>
      <c r="L18" s="120">
        <f t="shared" si="4"/>
        <v>37.1</v>
      </c>
      <c r="M18" s="23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</row>
    <row r="19" spans="1:37" s="105" customFormat="1" ht="36" customHeight="1" x14ac:dyDescent="0.3">
      <c r="A19" s="103"/>
      <c r="B19" s="100">
        <v>15</v>
      </c>
      <c r="C19" s="84" t="s">
        <v>359</v>
      </c>
      <c r="D19" s="101" t="s">
        <v>69</v>
      </c>
      <c r="E19" s="254">
        <v>306</v>
      </c>
      <c r="F19" s="118">
        <f>Report!G18</f>
        <v>1408</v>
      </c>
      <c r="G19" s="119">
        <f t="shared" si="0"/>
        <v>0.21732954545454544</v>
      </c>
      <c r="H19" s="120">
        <f t="shared" si="1"/>
        <v>70.400000000000006</v>
      </c>
      <c r="I19" s="254"/>
      <c r="J19" s="118">
        <f t="shared" si="2"/>
        <v>1408</v>
      </c>
      <c r="K19" s="121">
        <f t="shared" ref="K19:K20" si="5">I19/J19</f>
        <v>0</v>
      </c>
      <c r="L19" s="120">
        <f t="shared" ref="L19:L20" si="6">J19*5/100</f>
        <v>70.400000000000006</v>
      </c>
      <c r="M19" s="23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</row>
    <row r="20" spans="1:37" s="105" customFormat="1" ht="36" customHeight="1" x14ac:dyDescent="0.3">
      <c r="A20" s="103"/>
      <c r="B20" s="100">
        <v>16</v>
      </c>
      <c r="C20" s="84" t="s">
        <v>371</v>
      </c>
      <c r="D20" s="101" t="s">
        <v>69</v>
      </c>
      <c r="E20" s="254">
        <v>338</v>
      </c>
      <c r="F20" s="118">
        <f>Report!G19</f>
        <v>1705</v>
      </c>
      <c r="G20" s="119">
        <f t="shared" ref="G20" si="7">E20/F20</f>
        <v>0.19824046920821115</v>
      </c>
      <c r="H20" s="120">
        <f t="shared" ref="H20" si="8">F20*5/100</f>
        <v>85.25</v>
      </c>
      <c r="I20" s="254"/>
      <c r="J20" s="118">
        <f t="shared" si="2"/>
        <v>1705</v>
      </c>
      <c r="K20" s="121">
        <f t="shared" si="5"/>
        <v>0</v>
      </c>
      <c r="L20" s="120">
        <f t="shared" si="6"/>
        <v>85.25</v>
      </c>
      <c r="M20" s="23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</row>
    <row r="21" spans="1:37" s="107" customFormat="1" ht="36" customHeight="1" x14ac:dyDescent="0.3">
      <c r="A21" s="98"/>
      <c r="B21" s="438" t="s">
        <v>251</v>
      </c>
      <c r="C21" s="438"/>
      <c r="D21" s="439"/>
      <c r="E21" s="122">
        <f>SUM(E5:E18)</f>
        <v>2956</v>
      </c>
      <c r="F21" s="123">
        <f>SUM(F5:F18)</f>
        <v>27996</v>
      </c>
      <c r="G21" s="124">
        <f>E21/F21</f>
        <v>0.10558651235890841</v>
      </c>
      <c r="H21" s="122">
        <f>SUM(H5:H18)</f>
        <v>1399.8</v>
      </c>
      <c r="I21" s="122">
        <f>SUM(I5:I18)</f>
        <v>0</v>
      </c>
      <c r="J21" s="123">
        <f>SUM(J5:J18)</f>
        <v>27996</v>
      </c>
      <c r="K21" s="124">
        <f>I21/J21</f>
        <v>0</v>
      </c>
      <c r="L21" s="122">
        <f>J21*5/100</f>
        <v>1399.8</v>
      </c>
      <c r="M21" s="83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</row>
    <row r="22" spans="1:37" s="97" customFormat="1" x14ac:dyDescent="0.3">
      <c r="E22" s="98"/>
      <c r="I22" s="98"/>
    </row>
    <row r="23" spans="1:37" s="97" customFormat="1" x14ac:dyDescent="0.3">
      <c r="D23" s="108"/>
      <c r="E23" s="109"/>
      <c r="F23" s="98"/>
      <c r="I23" s="109"/>
      <c r="J23" s="109"/>
      <c r="K23" s="98"/>
    </row>
    <row r="24" spans="1:37" s="97" customFormat="1" x14ac:dyDescent="0.3">
      <c r="D24" s="98"/>
      <c r="E24" s="98"/>
      <c r="I24" s="98"/>
    </row>
    <row r="25" spans="1:37" s="97" customFormat="1" x14ac:dyDescent="0.3">
      <c r="D25" s="98"/>
      <c r="E25" s="98"/>
      <c r="I25" s="98"/>
    </row>
    <row r="26" spans="1:37" s="97" customFormat="1" x14ac:dyDescent="0.3">
      <c r="D26" s="98"/>
      <c r="E26" s="98"/>
      <c r="I26" s="98"/>
    </row>
    <row r="27" spans="1:37" s="97" customFormat="1" x14ac:dyDescent="0.3">
      <c r="E27" s="98"/>
      <c r="I27" s="98"/>
    </row>
    <row r="28" spans="1:37" s="97" customFormat="1" x14ac:dyDescent="0.3">
      <c r="E28" s="98"/>
      <c r="I28" s="98"/>
    </row>
    <row r="29" spans="1:37" s="97" customFormat="1" x14ac:dyDescent="0.3">
      <c r="E29" s="98"/>
      <c r="I29" s="98"/>
    </row>
    <row r="30" spans="1:37" s="97" customFormat="1" x14ac:dyDescent="0.3">
      <c r="E30" s="98"/>
      <c r="I30" s="98"/>
    </row>
    <row r="31" spans="1:37" s="97" customFormat="1" x14ac:dyDescent="0.3">
      <c r="E31" s="98"/>
      <c r="I31" s="98"/>
    </row>
    <row r="32" spans="1:37" s="97" customFormat="1" x14ac:dyDescent="0.3">
      <c r="E32" s="98"/>
      <c r="I32" s="98"/>
    </row>
    <row r="33" spans="5:9" s="97" customFormat="1" x14ac:dyDescent="0.3">
      <c r="E33" s="98"/>
      <c r="I33" s="98"/>
    </row>
    <row r="34" spans="5:9" s="97" customFormat="1" x14ac:dyDescent="0.3">
      <c r="E34" s="98"/>
      <c r="I34" s="98"/>
    </row>
    <row r="35" spans="5:9" s="97" customFormat="1" x14ac:dyDescent="0.3">
      <c r="E35" s="98"/>
      <c r="I35" s="98"/>
    </row>
    <row r="36" spans="5:9" s="97" customFormat="1" x14ac:dyDescent="0.3">
      <c r="E36" s="98"/>
      <c r="I36" s="98"/>
    </row>
    <row r="37" spans="5:9" s="97" customFormat="1" x14ac:dyDescent="0.3">
      <c r="E37" s="98"/>
      <c r="I37" s="98"/>
    </row>
    <row r="38" spans="5:9" s="97" customFormat="1" x14ac:dyDescent="0.3">
      <c r="E38" s="98"/>
      <c r="I38" s="98"/>
    </row>
    <row r="39" spans="5:9" s="97" customFormat="1" x14ac:dyDescent="0.3">
      <c r="E39" s="98"/>
      <c r="I39" s="98"/>
    </row>
    <row r="40" spans="5:9" s="97" customFormat="1" x14ac:dyDescent="0.3">
      <c r="E40" s="98"/>
      <c r="I40" s="98"/>
    </row>
    <row r="41" spans="5:9" s="97" customFormat="1" x14ac:dyDescent="0.3">
      <c r="E41" s="98"/>
      <c r="I41" s="98"/>
    </row>
    <row r="42" spans="5:9" s="97" customFormat="1" x14ac:dyDescent="0.3">
      <c r="E42" s="98"/>
      <c r="I42" s="98"/>
    </row>
    <row r="43" spans="5:9" s="97" customFormat="1" x14ac:dyDescent="0.3">
      <c r="E43" s="98"/>
      <c r="I43" s="98"/>
    </row>
    <row r="44" spans="5:9" s="97" customFormat="1" x14ac:dyDescent="0.3">
      <c r="E44" s="98"/>
      <c r="I44" s="98"/>
    </row>
    <row r="45" spans="5:9" s="97" customFormat="1" x14ac:dyDescent="0.3">
      <c r="E45" s="98"/>
      <c r="I45" s="98"/>
    </row>
    <row r="46" spans="5:9" s="97" customFormat="1" x14ac:dyDescent="0.3">
      <c r="E46" s="98"/>
      <c r="I46" s="98"/>
    </row>
    <row r="47" spans="5:9" s="97" customFormat="1" x14ac:dyDescent="0.3">
      <c r="E47" s="98"/>
      <c r="I47" s="98"/>
    </row>
    <row r="48" spans="5:9" s="97" customFormat="1" x14ac:dyDescent="0.3">
      <c r="E48" s="98"/>
      <c r="I48" s="98"/>
    </row>
  </sheetData>
  <mergeCells count="8">
    <mergeCell ref="B21:D21"/>
    <mergeCell ref="B2:B4"/>
    <mergeCell ref="M2:M4"/>
    <mergeCell ref="E2:L2"/>
    <mergeCell ref="E3:H3"/>
    <mergeCell ref="D2:D3"/>
    <mergeCell ref="C2:C4"/>
    <mergeCell ref="I3:L3"/>
  </mergeCell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218C-D7E4-4042-9C64-16B9DA1E2C2E}">
  <sheetPr codeName="Sheet9">
    <tabColor rgb="FFFFFF00"/>
  </sheetPr>
  <dimension ref="A1:AY94"/>
  <sheetViews>
    <sheetView zoomScale="75" zoomScaleNormal="82" workbookViewId="0">
      <pane xSplit="4" topLeftCell="E1" activePane="topRight" state="frozen"/>
      <selection pane="topRight" activeCell="C4" sqref="C4:C19"/>
    </sheetView>
  </sheetViews>
  <sheetFormatPr baseColWidth="10" defaultRowHeight="26" x14ac:dyDescent="0.15"/>
  <cols>
    <col min="1" max="1" width="6.5703125" style="257" customWidth="1"/>
    <col min="2" max="2" width="6.7109375" style="259" customWidth="1"/>
    <col min="3" max="3" width="41.42578125" style="259" customWidth="1"/>
    <col min="4" max="4" width="13.42578125" style="257" customWidth="1"/>
    <col min="5" max="5" width="10.140625" style="257" customWidth="1"/>
    <col min="6" max="7" width="12.85546875" style="257" customWidth="1"/>
    <col min="8" max="8" width="9" style="257" customWidth="1"/>
    <col min="9" max="9" width="8.5703125" style="257" customWidth="1"/>
    <col min="10" max="17" width="10.7109375" style="257"/>
    <col min="18" max="18" width="36.28515625" style="257" customWidth="1"/>
    <col min="19" max="19" width="19.85546875" style="257" customWidth="1"/>
    <col min="20" max="51" width="10.7109375" style="257"/>
    <col min="52" max="16384" width="10.7109375" style="259"/>
  </cols>
  <sheetData>
    <row r="1" spans="1:51" s="256" customFormat="1" ht="29" customHeight="1" x14ac:dyDescent="0.3">
      <c r="A1" s="255"/>
      <c r="B1" s="449" t="s">
        <v>33</v>
      </c>
      <c r="C1" s="449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</row>
    <row r="2" spans="1:51" ht="37" customHeight="1" x14ac:dyDescent="0.15">
      <c r="B2" s="450" t="s">
        <v>176</v>
      </c>
      <c r="C2" s="450" t="s">
        <v>71</v>
      </c>
      <c r="D2" s="447" t="s">
        <v>289</v>
      </c>
      <c r="E2" s="451" t="s">
        <v>442</v>
      </c>
      <c r="F2" s="452"/>
      <c r="G2" s="452"/>
      <c r="H2" s="453"/>
      <c r="I2" s="444" t="s">
        <v>12</v>
      </c>
    </row>
    <row r="3" spans="1:51" s="261" customFormat="1" ht="31" customHeight="1" x14ac:dyDescent="0.15">
      <c r="A3" s="260"/>
      <c r="B3" s="447"/>
      <c r="C3" s="447"/>
      <c r="D3" s="448"/>
      <c r="E3" s="266" t="s">
        <v>257</v>
      </c>
      <c r="F3" s="266" t="s">
        <v>34</v>
      </c>
      <c r="G3" s="258" t="s">
        <v>207</v>
      </c>
      <c r="H3" s="339" t="s">
        <v>35</v>
      </c>
      <c r="I3" s="445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</row>
    <row r="4" spans="1:51" s="256" customFormat="1" ht="28" customHeight="1" x14ac:dyDescent="0.3">
      <c r="A4" s="255"/>
      <c r="B4" s="340">
        <v>1</v>
      </c>
      <c r="C4" s="341" t="s">
        <v>132</v>
      </c>
      <c r="D4" s="350">
        <f>_xlfn.XLOOKUP(C4,R:R,S:S,0,0)</f>
        <v>900000</v>
      </c>
      <c r="E4" s="363">
        <v>7265</v>
      </c>
      <c r="F4" s="363">
        <v>1732917</v>
      </c>
      <c r="G4" s="351">
        <f>_xlfn.XLOOKUP(C4,ยอดขายปัจจุบัน!B:B,ยอดขายปัจจุบัน!D:D,0,0)</f>
        <v>982007.5</v>
      </c>
      <c r="H4" s="382">
        <f t="shared" ref="H4:H20" si="0">F4/D4</f>
        <v>1.9254633333333333</v>
      </c>
      <c r="I4" s="343">
        <f>1-H4</f>
        <v>-0.9254633333333333</v>
      </c>
      <c r="J4" s="255"/>
      <c r="K4" s="255"/>
      <c r="L4" s="255"/>
      <c r="M4" s="255"/>
      <c r="N4" s="255"/>
      <c r="O4" s="255"/>
      <c r="P4" s="255"/>
      <c r="Q4" s="255"/>
      <c r="R4" s="337" t="s">
        <v>80</v>
      </c>
      <c r="S4" s="380">
        <v>600000</v>
      </c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</row>
    <row r="5" spans="1:51" s="256" customFormat="1" ht="28" customHeight="1" x14ac:dyDescent="0.3">
      <c r="A5" s="255"/>
      <c r="B5" s="340">
        <v>2</v>
      </c>
      <c r="C5" s="341" t="s">
        <v>138</v>
      </c>
      <c r="D5" s="350">
        <f t="shared" ref="D5:D19" si="1">_xlfn.XLOOKUP(C5,R:R,S:S,0,0)</f>
        <v>975000</v>
      </c>
      <c r="E5" s="363">
        <v>6709</v>
      </c>
      <c r="F5" s="363">
        <v>1450859</v>
      </c>
      <c r="G5" s="351">
        <f>_xlfn.XLOOKUP(C5,ยอดขายปัจจุบัน!B:B,ยอดขายปัจจุบัน!D:D,0,0)</f>
        <v>784810.5</v>
      </c>
      <c r="H5" s="342">
        <f t="shared" si="0"/>
        <v>1.4880605128205129</v>
      </c>
      <c r="I5" s="343">
        <f t="shared" ref="I5:I17" si="2">1-H5</f>
        <v>-0.48806051282051288</v>
      </c>
      <c r="J5" s="255"/>
      <c r="K5" s="255"/>
      <c r="L5" s="255"/>
      <c r="M5" s="255"/>
      <c r="N5" s="255"/>
      <c r="O5" s="255"/>
      <c r="P5" s="255"/>
      <c r="Q5" s="255"/>
      <c r="R5" s="337" t="s">
        <v>132</v>
      </c>
      <c r="S5" s="380">
        <v>900000</v>
      </c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</row>
    <row r="6" spans="1:51" s="256" customFormat="1" ht="28" customHeight="1" x14ac:dyDescent="0.3">
      <c r="A6" s="255"/>
      <c r="B6" s="340">
        <v>3</v>
      </c>
      <c r="C6" s="341" t="s">
        <v>1</v>
      </c>
      <c r="D6" s="350">
        <f t="shared" si="1"/>
        <v>1000000</v>
      </c>
      <c r="E6" s="363">
        <v>7518</v>
      </c>
      <c r="F6" s="363">
        <v>1825133</v>
      </c>
      <c r="G6" s="351">
        <f>_xlfn.XLOOKUP(C6,ยอดขายปัจจุบัน!B:B,ยอดขายปัจจุบัน!D:D,0,0)</f>
        <v>973986.2</v>
      </c>
      <c r="H6" s="382">
        <f t="shared" si="0"/>
        <v>1.8251329999999999</v>
      </c>
      <c r="I6" s="343">
        <f t="shared" si="2"/>
        <v>-0.82513299999999989</v>
      </c>
      <c r="J6" s="255"/>
      <c r="K6" s="255"/>
      <c r="L6" s="255"/>
      <c r="M6" s="255"/>
      <c r="N6" s="255"/>
      <c r="O6" s="255"/>
      <c r="P6" s="255"/>
      <c r="Q6" s="255"/>
      <c r="R6" s="337" t="s">
        <v>158</v>
      </c>
      <c r="S6" s="380">
        <v>750000</v>
      </c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</row>
    <row r="7" spans="1:51" s="256" customFormat="1" ht="28" customHeight="1" x14ac:dyDescent="0.3">
      <c r="A7" s="255"/>
      <c r="B7" s="340">
        <v>4</v>
      </c>
      <c r="C7" s="341" t="s">
        <v>107</v>
      </c>
      <c r="D7" s="350">
        <f t="shared" si="1"/>
        <v>1100000</v>
      </c>
      <c r="E7" s="363">
        <v>6503</v>
      </c>
      <c r="F7" s="363">
        <v>1486057</v>
      </c>
      <c r="G7" s="351">
        <f>_xlfn.XLOOKUP(C7,ยอดขายปัจจุบัน!B:B,ยอดขายปัจจุบัน!D:D,0,0)</f>
        <v>1286829.5</v>
      </c>
      <c r="H7" s="342">
        <f t="shared" si="0"/>
        <v>1.3509609090909092</v>
      </c>
      <c r="I7" s="343">
        <f t="shared" si="2"/>
        <v>-0.35096090909090916</v>
      </c>
      <c r="J7" s="255"/>
      <c r="K7" s="255"/>
      <c r="L7" s="255"/>
      <c r="M7" s="255"/>
      <c r="N7" s="255"/>
      <c r="O7" s="255"/>
      <c r="P7" s="255"/>
      <c r="Q7" s="255"/>
      <c r="R7" s="337" t="s">
        <v>138</v>
      </c>
      <c r="S7" s="380">
        <v>975000</v>
      </c>
      <c r="T7" s="255"/>
      <c r="U7" s="255"/>
      <c r="V7" s="255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</row>
    <row r="8" spans="1:51" s="256" customFormat="1" ht="28" customHeight="1" x14ac:dyDescent="0.3">
      <c r="A8" s="255"/>
      <c r="B8" s="340">
        <v>5</v>
      </c>
      <c r="C8" s="341" t="s">
        <v>158</v>
      </c>
      <c r="D8" s="350">
        <f t="shared" si="1"/>
        <v>750000</v>
      </c>
      <c r="E8" s="363">
        <v>5765</v>
      </c>
      <c r="F8" s="363">
        <v>1241675</v>
      </c>
      <c r="G8" s="351">
        <f>_xlfn.XLOOKUP(C8,ยอดขายปัจจุบัน!B:B,ยอดขายปัจจุบัน!D:D,0,0)</f>
        <v>610704.5</v>
      </c>
      <c r="H8" s="342">
        <f t="shared" si="0"/>
        <v>1.6555666666666666</v>
      </c>
      <c r="I8" s="343">
        <f t="shared" si="2"/>
        <v>-0.65556666666666663</v>
      </c>
      <c r="J8" s="255"/>
      <c r="K8" s="255"/>
      <c r="L8" s="255"/>
      <c r="M8" s="255"/>
      <c r="N8" s="255"/>
      <c r="O8" s="255"/>
      <c r="P8" s="255"/>
      <c r="Q8" s="255"/>
      <c r="R8" s="337" t="s">
        <v>306</v>
      </c>
      <c r="S8" s="380">
        <v>810000</v>
      </c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</row>
    <row r="9" spans="1:51" s="256" customFormat="1" ht="28" customHeight="1" x14ac:dyDescent="0.3">
      <c r="A9" s="255"/>
      <c r="B9" s="340">
        <v>6</v>
      </c>
      <c r="C9" s="341" t="s">
        <v>196</v>
      </c>
      <c r="D9" s="350">
        <f t="shared" si="1"/>
        <v>675000</v>
      </c>
      <c r="E9" s="363">
        <v>3831</v>
      </c>
      <c r="F9" s="363">
        <v>845320</v>
      </c>
      <c r="G9" s="351">
        <f>_xlfn.XLOOKUP(C9,ยอดขายปัจจุบัน!B:B,ยอดขายปัจจุบัน!D:D,0,0)</f>
        <v>575938</v>
      </c>
      <c r="H9" s="342">
        <f t="shared" si="0"/>
        <v>1.2523259259259258</v>
      </c>
      <c r="I9" s="343">
        <f t="shared" si="2"/>
        <v>-0.25232592592592584</v>
      </c>
      <c r="J9" s="255"/>
      <c r="K9" s="255"/>
      <c r="L9" s="255"/>
      <c r="M9" s="255"/>
      <c r="N9" s="255"/>
      <c r="O9" s="255"/>
      <c r="P9" s="255"/>
      <c r="Q9" s="255"/>
      <c r="R9" s="337" t="s">
        <v>196</v>
      </c>
      <c r="S9" s="380">
        <v>675000</v>
      </c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</row>
    <row r="10" spans="1:51" s="256" customFormat="1" ht="28" customHeight="1" x14ac:dyDescent="0.3">
      <c r="A10" s="255"/>
      <c r="B10" s="340">
        <v>7</v>
      </c>
      <c r="C10" s="341" t="s">
        <v>246</v>
      </c>
      <c r="D10" s="350">
        <f t="shared" si="1"/>
        <v>1060000</v>
      </c>
      <c r="E10" s="363">
        <v>9568</v>
      </c>
      <c r="F10" s="363">
        <v>2103291</v>
      </c>
      <c r="G10" s="351">
        <f>_xlfn.XLOOKUP(C10,ยอดขายปัจจุบัน!B:B,ยอดขายปัจจุบัน!D:D,0,0)</f>
        <v>1221787.5</v>
      </c>
      <c r="H10" s="382">
        <f t="shared" si="0"/>
        <v>1.9842367924528301</v>
      </c>
      <c r="I10" s="343">
        <f t="shared" si="2"/>
        <v>-0.98423679245283013</v>
      </c>
      <c r="J10" s="255"/>
      <c r="K10" s="255"/>
      <c r="L10" s="255"/>
      <c r="M10" s="255"/>
      <c r="N10" s="255"/>
      <c r="O10" s="255"/>
      <c r="P10" s="255"/>
      <c r="Q10" s="255"/>
      <c r="R10" s="337" t="s">
        <v>246</v>
      </c>
      <c r="S10" s="380">
        <v>1060000</v>
      </c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</row>
    <row r="11" spans="1:51" s="256" customFormat="1" ht="28" customHeight="1" x14ac:dyDescent="0.3">
      <c r="A11" s="255"/>
      <c r="B11" s="340">
        <v>8</v>
      </c>
      <c r="C11" s="341" t="s">
        <v>78</v>
      </c>
      <c r="D11" s="350">
        <f t="shared" si="1"/>
        <v>2300000</v>
      </c>
      <c r="E11" s="363">
        <v>11869</v>
      </c>
      <c r="F11" s="363">
        <v>2550035</v>
      </c>
      <c r="G11" s="351">
        <f>_xlfn.XLOOKUP(C11,ยอดขายปัจจุบัน!B:B,ยอดขายปัจจุบัน!D:D,0,0)</f>
        <v>1807232</v>
      </c>
      <c r="H11" s="342">
        <f t="shared" si="0"/>
        <v>1.1087108695652175</v>
      </c>
      <c r="I11" s="343">
        <f t="shared" si="2"/>
        <v>-0.10871086956521747</v>
      </c>
      <c r="J11" s="255"/>
      <c r="K11" s="255"/>
      <c r="L11" s="255"/>
      <c r="M11" s="255"/>
      <c r="N11" s="255"/>
      <c r="O11" s="255"/>
      <c r="P11" s="255"/>
      <c r="Q11" s="255"/>
      <c r="R11" s="337" t="s">
        <v>359</v>
      </c>
      <c r="S11" s="380">
        <v>850000</v>
      </c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</row>
    <row r="12" spans="1:51" s="256" customFormat="1" ht="28" customHeight="1" x14ac:dyDescent="0.3">
      <c r="A12" s="255"/>
      <c r="B12" s="340">
        <v>9</v>
      </c>
      <c r="C12" s="341" t="s">
        <v>45</v>
      </c>
      <c r="D12" s="350">
        <f t="shared" si="1"/>
        <v>1300000</v>
      </c>
      <c r="E12" s="363">
        <v>8962</v>
      </c>
      <c r="F12" s="363">
        <v>1923417</v>
      </c>
      <c r="G12" s="351">
        <f>_xlfn.XLOOKUP(C12,ยอดขายปัจจุบัน!B:B,ยอดขายปัจจุบัน!D:D,0,0)</f>
        <v>1159000.5</v>
      </c>
      <c r="H12" s="342">
        <f t="shared" si="0"/>
        <v>1.4795515384615385</v>
      </c>
      <c r="I12" s="343">
        <f t="shared" si="2"/>
        <v>-0.47955153846153853</v>
      </c>
      <c r="J12" s="255"/>
      <c r="K12" s="255"/>
      <c r="L12" s="255"/>
      <c r="M12" s="255"/>
      <c r="N12" s="255"/>
      <c r="O12" s="255"/>
      <c r="P12" s="255"/>
      <c r="Q12" s="255"/>
      <c r="R12" s="337" t="s">
        <v>45</v>
      </c>
      <c r="S12" s="380">
        <v>1300000</v>
      </c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</row>
    <row r="13" spans="1:51" s="256" customFormat="1" ht="28" customHeight="1" x14ac:dyDescent="0.3">
      <c r="A13" s="255"/>
      <c r="B13" s="340">
        <v>10</v>
      </c>
      <c r="C13" s="341" t="s">
        <v>80</v>
      </c>
      <c r="D13" s="350">
        <f t="shared" si="1"/>
        <v>600000</v>
      </c>
      <c r="E13" s="363">
        <v>5643</v>
      </c>
      <c r="F13" s="363">
        <v>1222059</v>
      </c>
      <c r="G13" s="351">
        <f>_xlfn.XLOOKUP(C13,ยอดขายปัจจุบัน!B:B,ยอดขายปัจจุบัน!D:D,0,0)</f>
        <v>691868</v>
      </c>
      <c r="H13" s="382">
        <f t="shared" si="0"/>
        <v>2.0367649999999999</v>
      </c>
      <c r="I13" s="343">
        <f t="shared" si="2"/>
        <v>-1.0367649999999999</v>
      </c>
      <c r="J13" s="255"/>
      <c r="K13" s="255"/>
      <c r="L13" s="255"/>
      <c r="M13" s="255"/>
      <c r="N13" s="255"/>
      <c r="O13" s="255"/>
      <c r="P13" s="255"/>
      <c r="Q13" s="255"/>
      <c r="R13" s="337" t="s">
        <v>107</v>
      </c>
      <c r="S13" s="380">
        <v>1100000</v>
      </c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</row>
    <row r="14" spans="1:51" s="256" customFormat="1" ht="28" customHeight="1" x14ac:dyDescent="0.3">
      <c r="A14" s="255"/>
      <c r="B14" s="340">
        <v>11</v>
      </c>
      <c r="C14" s="341" t="s">
        <v>111</v>
      </c>
      <c r="D14" s="350">
        <f t="shared" si="1"/>
        <v>1800000</v>
      </c>
      <c r="E14" s="363">
        <v>10791</v>
      </c>
      <c r="F14" s="363">
        <v>2470251</v>
      </c>
      <c r="G14" s="351">
        <f>_xlfn.XLOOKUP(C14,ยอดขายปัจจุบัน!B:B,ยอดขายปัจจุบัน!D:D,0,0)</f>
        <v>1737483.5</v>
      </c>
      <c r="H14" s="342">
        <f t="shared" si="0"/>
        <v>1.3723616666666667</v>
      </c>
      <c r="I14" s="343">
        <f t="shared" si="2"/>
        <v>-0.3723616666666667</v>
      </c>
      <c r="J14" s="255"/>
      <c r="K14" s="255"/>
      <c r="L14" s="255"/>
      <c r="M14" s="255"/>
      <c r="N14" s="255"/>
      <c r="O14" s="255"/>
      <c r="P14" s="255"/>
      <c r="Q14" s="255"/>
      <c r="R14" s="379" t="s">
        <v>371</v>
      </c>
      <c r="S14" s="380">
        <v>1100000</v>
      </c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</row>
    <row r="15" spans="1:51" s="256" customFormat="1" ht="28" customHeight="1" x14ac:dyDescent="0.3">
      <c r="A15" s="255"/>
      <c r="B15" s="340">
        <v>12</v>
      </c>
      <c r="C15" s="341" t="s">
        <v>292</v>
      </c>
      <c r="D15" s="350">
        <f t="shared" si="1"/>
        <v>525000</v>
      </c>
      <c r="E15" s="363">
        <v>4191</v>
      </c>
      <c r="F15" s="363">
        <v>864221</v>
      </c>
      <c r="G15" s="351">
        <f>_xlfn.XLOOKUP(C15,ยอดขายปัจจุบัน!B:B,ยอดขายปัจจุบัน!D:D,0,0)</f>
        <v>396760.54</v>
      </c>
      <c r="H15" s="342">
        <f t="shared" si="0"/>
        <v>1.6461352380952381</v>
      </c>
      <c r="I15" s="343">
        <f t="shared" si="2"/>
        <v>-0.6461352380952381</v>
      </c>
      <c r="J15" s="255"/>
      <c r="K15" s="255"/>
      <c r="L15" s="255"/>
      <c r="M15" s="255"/>
      <c r="N15" s="255"/>
      <c r="O15" s="255"/>
      <c r="P15" s="255"/>
      <c r="Q15" s="255"/>
      <c r="R15" s="337" t="s">
        <v>78</v>
      </c>
      <c r="S15" s="380">
        <v>2300000</v>
      </c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</row>
    <row r="16" spans="1:51" s="256" customFormat="1" ht="28" customHeight="1" x14ac:dyDescent="0.3">
      <c r="A16" s="255"/>
      <c r="B16" s="340">
        <v>13</v>
      </c>
      <c r="C16" s="341" t="s">
        <v>306</v>
      </c>
      <c r="D16" s="350">
        <f t="shared" si="1"/>
        <v>810000</v>
      </c>
      <c r="E16" s="363">
        <v>3215</v>
      </c>
      <c r="F16" s="363">
        <v>686405</v>
      </c>
      <c r="G16" s="351">
        <f>_xlfn.XLOOKUP(C16,ยอดขายปัจจุบัน!B:B,ยอดขายปัจจุบัน!D:D,0,0)</f>
        <v>920696.51</v>
      </c>
      <c r="H16" s="342">
        <f t="shared" si="0"/>
        <v>0.8474135802469136</v>
      </c>
      <c r="I16" s="343">
        <f t="shared" si="2"/>
        <v>0.1525864197530864</v>
      </c>
      <c r="J16" s="255"/>
      <c r="K16" s="255"/>
      <c r="L16" s="255"/>
      <c r="M16" s="255"/>
      <c r="N16" s="255"/>
      <c r="O16" s="255"/>
      <c r="P16" s="255"/>
      <c r="Q16" s="255"/>
      <c r="R16" s="337" t="s">
        <v>1</v>
      </c>
      <c r="S16" s="380">
        <v>1000000</v>
      </c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</row>
    <row r="17" spans="1:51" s="256" customFormat="1" ht="28" customHeight="1" x14ac:dyDescent="0.3">
      <c r="A17" s="255"/>
      <c r="B17" s="340">
        <v>14</v>
      </c>
      <c r="C17" s="341" t="s">
        <v>361</v>
      </c>
      <c r="D17" s="350">
        <f t="shared" si="1"/>
        <v>550000</v>
      </c>
      <c r="E17" s="363">
        <v>4395</v>
      </c>
      <c r="F17" s="363">
        <v>1030706</v>
      </c>
      <c r="G17" s="351">
        <f>_xlfn.XLOOKUP(C17,ยอดขายปัจจุบัน!B:B,ยอดขายปัจจุบัน!D:D,0,0)</f>
        <v>384029.5</v>
      </c>
      <c r="H17" s="382">
        <f t="shared" si="0"/>
        <v>1.8740109090909092</v>
      </c>
      <c r="I17" s="343">
        <f t="shared" si="2"/>
        <v>-0.87401090909090917</v>
      </c>
      <c r="J17" s="255"/>
      <c r="K17" s="255"/>
      <c r="L17" s="255"/>
      <c r="M17" s="255"/>
      <c r="N17" s="255"/>
      <c r="O17" s="255"/>
      <c r="P17" s="255"/>
      <c r="Q17" s="255"/>
      <c r="R17" s="337" t="s">
        <v>361</v>
      </c>
      <c r="S17" s="380">
        <v>550000</v>
      </c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</row>
    <row r="18" spans="1:51" s="256" customFormat="1" ht="28" customHeight="1" x14ac:dyDescent="0.3">
      <c r="A18" s="255"/>
      <c r="B18" s="340">
        <v>15</v>
      </c>
      <c r="C18" s="341" t="s">
        <v>359</v>
      </c>
      <c r="D18" s="350">
        <f t="shared" si="1"/>
        <v>850000</v>
      </c>
      <c r="E18" s="363">
        <v>4697</v>
      </c>
      <c r="F18" s="363">
        <v>1009939</v>
      </c>
      <c r="G18" s="351">
        <f>_xlfn.XLOOKUP(C18,ยอดขายปัจจุบัน!B:B,ยอดขายปัจจุบัน!D:D,0,0)</f>
        <v>770581</v>
      </c>
      <c r="H18" s="342">
        <f t="shared" si="0"/>
        <v>1.1881635294117647</v>
      </c>
      <c r="I18" s="343">
        <f>1-H18</f>
        <v>-0.18816352941176473</v>
      </c>
      <c r="J18" s="255"/>
      <c r="K18" s="255"/>
      <c r="L18" s="255"/>
      <c r="M18" s="255"/>
      <c r="N18" s="255"/>
      <c r="O18" s="255"/>
      <c r="P18" s="255"/>
      <c r="Q18" s="255"/>
      <c r="R18" s="337" t="s">
        <v>292</v>
      </c>
      <c r="S18" s="380">
        <v>525000</v>
      </c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</row>
    <row r="19" spans="1:51" s="256" customFormat="1" ht="28" customHeight="1" x14ac:dyDescent="0.3">
      <c r="A19" s="255"/>
      <c r="B19" s="340">
        <v>16</v>
      </c>
      <c r="C19" s="341" t="s">
        <v>371</v>
      </c>
      <c r="D19" s="350">
        <f t="shared" si="1"/>
        <v>1100000</v>
      </c>
      <c r="E19" s="363">
        <v>6359</v>
      </c>
      <c r="F19" s="363">
        <v>1361867</v>
      </c>
      <c r="G19" s="351">
        <f>_xlfn.XLOOKUP(C19,ยอดขายปัจจุบัน!B:B,ยอดขายปัจจุบัน!D:D,0,0)</f>
        <v>780394</v>
      </c>
      <c r="H19" s="342">
        <f>F19/D19</f>
        <v>1.2380609090909092</v>
      </c>
      <c r="I19" s="343">
        <f>1-H19</f>
        <v>-0.23806090909090916</v>
      </c>
      <c r="J19" s="255"/>
      <c r="K19" s="255"/>
      <c r="L19" s="255"/>
      <c r="M19" s="255"/>
      <c r="N19" s="255"/>
      <c r="O19" s="255"/>
      <c r="P19" s="255"/>
      <c r="Q19" s="255"/>
      <c r="R19" s="337" t="s">
        <v>111</v>
      </c>
      <c r="S19" s="380">
        <v>1800000</v>
      </c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</row>
    <row r="20" spans="1:51" ht="27" customHeight="1" x14ac:dyDescent="0.15">
      <c r="B20" s="446" t="s">
        <v>198</v>
      </c>
      <c r="C20" s="446"/>
      <c r="D20" s="344">
        <f>SUM(D4:D19)</f>
        <v>16295000</v>
      </c>
      <c r="E20" s="352">
        <f t="shared" ref="E20:G20" si="3">SUM(E4:E19)</f>
        <v>107281</v>
      </c>
      <c r="F20" s="352">
        <f>SUM(F4:F19)</f>
        <v>23804152</v>
      </c>
      <c r="G20" s="344">
        <f t="shared" si="3"/>
        <v>15084109.249999998</v>
      </c>
      <c r="H20" s="345">
        <f t="shared" si="0"/>
        <v>1.4608255293034673</v>
      </c>
      <c r="I20" s="346">
        <f>1-H20</f>
        <v>-0.46082552930346732</v>
      </c>
    </row>
    <row r="21" spans="1:51" s="257" customFormat="1" x14ac:dyDescent="0.15"/>
    <row r="22" spans="1:51" s="257" customFormat="1" x14ac:dyDescent="0.15">
      <c r="C22" s="257" t="s">
        <v>358</v>
      </c>
    </row>
    <row r="23" spans="1:51" s="257" customFormat="1" x14ac:dyDescent="0.15"/>
    <row r="24" spans="1:51" s="257" customFormat="1" x14ac:dyDescent="0.15"/>
    <row r="25" spans="1:51" s="257" customFormat="1" x14ac:dyDescent="0.15"/>
    <row r="26" spans="1:51" s="257" customFormat="1" x14ac:dyDescent="0.15"/>
    <row r="27" spans="1:51" s="257" customFormat="1" x14ac:dyDescent="0.15"/>
    <row r="28" spans="1:51" s="257" customFormat="1" x14ac:dyDescent="0.15"/>
    <row r="29" spans="1:51" s="257" customFormat="1" x14ac:dyDescent="0.15"/>
    <row r="30" spans="1:51" s="257" customFormat="1" x14ac:dyDescent="0.15"/>
    <row r="31" spans="1:51" s="257" customFormat="1" x14ac:dyDescent="0.15"/>
    <row r="32" spans="1:51" s="257" customFormat="1" x14ac:dyDescent="0.15"/>
    <row r="33" s="257" customFormat="1" x14ac:dyDescent="0.15"/>
    <row r="34" s="257" customFormat="1" x14ac:dyDescent="0.15"/>
    <row r="35" s="257" customFormat="1" x14ac:dyDescent="0.15"/>
    <row r="36" s="257" customFormat="1" x14ac:dyDescent="0.15"/>
    <row r="37" s="257" customFormat="1" x14ac:dyDescent="0.15"/>
    <row r="38" s="257" customFormat="1" x14ac:dyDescent="0.15"/>
    <row r="39" s="257" customFormat="1" x14ac:dyDescent="0.15"/>
    <row r="40" s="257" customFormat="1" x14ac:dyDescent="0.15"/>
    <row r="41" s="257" customFormat="1" x14ac:dyDescent="0.15"/>
    <row r="42" s="257" customFormat="1" x14ac:dyDescent="0.15"/>
    <row r="43" s="257" customFormat="1" x14ac:dyDescent="0.15"/>
    <row r="44" s="257" customFormat="1" x14ac:dyDescent="0.15"/>
    <row r="45" s="257" customFormat="1" x14ac:dyDescent="0.15"/>
    <row r="46" s="257" customFormat="1" x14ac:dyDescent="0.15"/>
    <row r="47" s="257" customFormat="1" x14ac:dyDescent="0.15"/>
    <row r="48" s="257" customFormat="1" x14ac:dyDescent="0.15"/>
    <row r="49" s="257" customFormat="1" x14ac:dyDescent="0.15"/>
    <row r="50" s="257" customFormat="1" x14ac:dyDescent="0.15"/>
    <row r="51" s="257" customFormat="1" x14ac:dyDescent="0.15"/>
    <row r="52" s="257" customFormat="1" x14ac:dyDescent="0.15"/>
    <row r="53" s="257" customFormat="1" x14ac:dyDescent="0.15"/>
    <row r="54" s="257" customFormat="1" x14ac:dyDescent="0.15"/>
    <row r="55" s="257" customFormat="1" x14ac:dyDescent="0.15"/>
    <row r="56" s="257" customFormat="1" x14ac:dyDescent="0.15"/>
    <row r="57" s="257" customFormat="1" x14ac:dyDescent="0.15"/>
    <row r="58" s="257" customFormat="1" x14ac:dyDescent="0.15"/>
    <row r="59" s="257" customFormat="1" x14ac:dyDescent="0.15"/>
    <row r="60" s="257" customFormat="1" x14ac:dyDescent="0.15"/>
    <row r="61" s="257" customFormat="1" x14ac:dyDescent="0.15"/>
    <row r="62" s="257" customFormat="1" x14ac:dyDescent="0.15"/>
    <row r="63" s="257" customFormat="1" x14ac:dyDescent="0.15"/>
    <row r="64" s="257" customFormat="1" x14ac:dyDescent="0.15"/>
    <row r="65" s="257" customFormat="1" x14ac:dyDescent="0.15"/>
    <row r="66" s="257" customFormat="1" x14ac:dyDescent="0.15"/>
    <row r="67" s="257" customFormat="1" x14ac:dyDescent="0.15"/>
    <row r="68" s="257" customFormat="1" x14ac:dyDescent="0.15"/>
    <row r="69" s="257" customFormat="1" x14ac:dyDescent="0.15"/>
    <row r="70" s="257" customFormat="1" x14ac:dyDescent="0.15"/>
    <row r="71" s="257" customFormat="1" x14ac:dyDescent="0.15"/>
    <row r="72" s="257" customFormat="1" x14ac:dyDescent="0.15"/>
    <row r="73" s="257" customFormat="1" x14ac:dyDescent="0.15"/>
    <row r="74" s="257" customFormat="1" x14ac:dyDescent="0.15"/>
    <row r="75" s="257" customFormat="1" x14ac:dyDescent="0.15"/>
    <row r="76" s="257" customFormat="1" x14ac:dyDescent="0.15"/>
    <row r="77" s="257" customFormat="1" x14ac:dyDescent="0.15"/>
    <row r="78" s="257" customFormat="1" x14ac:dyDescent="0.15"/>
    <row r="79" s="257" customFormat="1" x14ac:dyDescent="0.15"/>
    <row r="80" s="257" customFormat="1" x14ac:dyDescent="0.15"/>
    <row r="81" s="257" customFormat="1" x14ac:dyDescent="0.15"/>
    <row r="82" s="257" customFormat="1" x14ac:dyDescent="0.15"/>
    <row r="83" s="257" customFormat="1" x14ac:dyDescent="0.15"/>
    <row r="84" s="257" customFormat="1" x14ac:dyDescent="0.15"/>
    <row r="85" s="257" customFormat="1" x14ac:dyDescent="0.15"/>
    <row r="86" s="257" customFormat="1" x14ac:dyDescent="0.15"/>
    <row r="87" s="257" customFormat="1" x14ac:dyDescent="0.15"/>
    <row r="88" s="257" customFormat="1" x14ac:dyDescent="0.15"/>
    <row r="89" s="257" customFormat="1" x14ac:dyDescent="0.15"/>
    <row r="90" s="257" customFormat="1" x14ac:dyDescent="0.15"/>
    <row r="91" s="257" customFormat="1" x14ac:dyDescent="0.15"/>
    <row r="92" s="257" customFormat="1" x14ac:dyDescent="0.15"/>
    <row r="93" s="257" customFormat="1" x14ac:dyDescent="0.15"/>
    <row r="94" s="257" customFormat="1" x14ac:dyDescent="0.15"/>
  </sheetData>
  <mergeCells count="7">
    <mergeCell ref="I2:I3"/>
    <mergeCell ref="B20:C20"/>
    <mergeCell ref="D2:D3"/>
    <mergeCell ref="B1:C1"/>
    <mergeCell ref="B2:B3"/>
    <mergeCell ref="C2:C3"/>
    <mergeCell ref="E2:H2"/>
  </mergeCells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2DD8-9D6B-B34B-BA08-15DA434CE510}">
  <sheetPr codeName="Sheet15">
    <tabColor rgb="FFFFFF00"/>
  </sheetPr>
  <dimension ref="A1:AN23"/>
  <sheetViews>
    <sheetView zoomScale="68" zoomScaleNormal="9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O11" sqref="O11"/>
    </sheetView>
  </sheetViews>
  <sheetFormatPr baseColWidth="10" defaultRowHeight="24" x14ac:dyDescent="0.3"/>
  <cols>
    <col min="1" max="1" width="39" style="59" customWidth="1"/>
    <col min="2" max="2" width="9" style="59" customWidth="1"/>
    <col min="3" max="3" width="12.28515625" style="59" customWidth="1"/>
    <col min="4" max="4" width="9" style="59" customWidth="1"/>
    <col min="5" max="5" width="12.28515625" style="59" customWidth="1"/>
    <col min="6" max="6" width="9" style="59" customWidth="1"/>
    <col min="7" max="7" width="12.28515625" style="59" customWidth="1"/>
    <col min="8" max="8" width="9" style="59" customWidth="1"/>
    <col min="9" max="9" width="12.28515625" style="59" customWidth="1"/>
    <col min="10" max="10" width="9" style="59" customWidth="1"/>
    <col min="11" max="11" width="12.28515625" style="59" customWidth="1"/>
    <col min="12" max="12" width="9" style="59" customWidth="1"/>
    <col min="13" max="13" width="12.28515625" style="59" customWidth="1"/>
    <col min="14" max="14" width="9" style="59" customWidth="1"/>
    <col min="15" max="15" width="12.28515625" style="59" customWidth="1"/>
    <col min="16" max="16" width="9" style="59" customWidth="1"/>
    <col min="17" max="17" width="12.28515625" style="59" customWidth="1"/>
    <col min="18" max="18" width="9" style="59" customWidth="1"/>
    <col min="19" max="19" width="12.28515625" style="59" customWidth="1"/>
    <col min="20" max="20" width="9" style="59" hidden="1" customWidth="1"/>
    <col min="21" max="27" width="12.28515625" style="59" hidden="1" customWidth="1"/>
    <col min="28" max="28" width="10.7109375" style="59"/>
    <col min="29" max="29" width="14.7109375" style="59" customWidth="1"/>
    <col min="30" max="30" width="10.7109375" style="59"/>
    <col min="31" max="31" width="14.7109375" style="59" customWidth="1"/>
    <col min="32" max="32" width="10.7109375" style="62"/>
    <col min="33" max="16384" width="10.7109375" style="59"/>
  </cols>
  <sheetData>
    <row r="1" spans="1:40" s="60" customFormat="1" ht="24" customHeight="1" x14ac:dyDescent="0.15">
      <c r="A1" s="456" t="s">
        <v>214</v>
      </c>
      <c r="B1" s="458" t="s">
        <v>231</v>
      </c>
      <c r="C1" s="458"/>
      <c r="D1" s="459" t="s">
        <v>232</v>
      </c>
      <c r="E1" s="459"/>
      <c r="F1" s="458" t="s">
        <v>231</v>
      </c>
      <c r="G1" s="458"/>
      <c r="H1" s="459" t="s">
        <v>232</v>
      </c>
      <c r="I1" s="459"/>
      <c r="J1" s="458" t="s">
        <v>231</v>
      </c>
      <c r="K1" s="458"/>
      <c r="L1" s="459" t="s">
        <v>232</v>
      </c>
      <c r="M1" s="459"/>
      <c r="N1" s="458" t="s">
        <v>231</v>
      </c>
      <c r="O1" s="458"/>
      <c r="P1" s="459" t="s">
        <v>232</v>
      </c>
      <c r="Q1" s="459"/>
      <c r="R1" s="458" t="s">
        <v>231</v>
      </c>
      <c r="S1" s="458"/>
      <c r="T1" s="459" t="s">
        <v>232</v>
      </c>
      <c r="U1" s="459"/>
      <c r="V1" s="458" t="s">
        <v>231</v>
      </c>
      <c r="W1" s="458"/>
      <c r="X1" s="459" t="s">
        <v>232</v>
      </c>
      <c r="Y1" s="459"/>
      <c r="Z1" s="458" t="s">
        <v>231</v>
      </c>
      <c r="AA1" s="458"/>
      <c r="AB1" s="468" t="s">
        <v>231</v>
      </c>
      <c r="AC1" s="468"/>
      <c r="AD1" s="465" t="s">
        <v>232</v>
      </c>
      <c r="AE1" s="465"/>
      <c r="AF1" s="63"/>
      <c r="AG1" s="63"/>
      <c r="AH1" s="63"/>
      <c r="AI1" s="63"/>
      <c r="AJ1" s="63"/>
      <c r="AK1" s="63"/>
      <c r="AL1" s="63"/>
    </row>
    <row r="2" spans="1:40" s="87" customFormat="1" ht="21" customHeight="1" x14ac:dyDescent="0.15">
      <c r="A2" s="456"/>
      <c r="B2" s="460">
        <v>1</v>
      </c>
      <c r="C2" s="461"/>
      <c r="D2" s="462" t="s">
        <v>508</v>
      </c>
      <c r="E2" s="461"/>
      <c r="F2" s="463" t="s">
        <v>509</v>
      </c>
      <c r="G2" s="464"/>
      <c r="H2" s="463" t="s">
        <v>510</v>
      </c>
      <c r="I2" s="464"/>
      <c r="J2" s="454" t="s">
        <v>511</v>
      </c>
      <c r="K2" s="455"/>
      <c r="L2" s="460" t="s">
        <v>512</v>
      </c>
      <c r="M2" s="461"/>
      <c r="N2" s="460" t="s">
        <v>513</v>
      </c>
      <c r="O2" s="461"/>
      <c r="P2" s="460" t="s">
        <v>514</v>
      </c>
      <c r="Q2" s="461"/>
      <c r="R2" s="460">
        <v>28</v>
      </c>
      <c r="S2" s="461"/>
      <c r="T2" s="460"/>
      <c r="U2" s="461"/>
      <c r="V2" s="460"/>
      <c r="W2" s="461"/>
      <c r="X2" s="460"/>
      <c r="Y2" s="461"/>
      <c r="Z2" s="454"/>
      <c r="AA2" s="469"/>
      <c r="AB2" s="466" t="s">
        <v>202</v>
      </c>
      <c r="AC2" s="466"/>
      <c r="AD2" s="467" t="s">
        <v>202</v>
      </c>
      <c r="AE2" s="467"/>
      <c r="AF2" s="86"/>
      <c r="AG2" s="86"/>
      <c r="AH2" s="86"/>
      <c r="AI2" s="86"/>
      <c r="AJ2" s="86"/>
      <c r="AK2" s="86"/>
      <c r="AL2" s="86"/>
    </row>
    <row r="3" spans="1:40" s="60" customFormat="1" ht="25" customHeight="1" x14ac:dyDescent="0.15">
      <c r="A3" s="457"/>
      <c r="B3" s="88" t="s">
        <v>204</v>
      </c>
      <c r="C3" s="88" t="s">
        <v>207</v>
      </c>
      <c r="D3" s="89" t="s">
        <v>204</v>
      </c>
      <c r="E3" s="89" t="s">
        <v>207</v>
      </c>
      <c r="F3" s="88" t="s">
        <v>204</v>
      </c>
      <c r="G3" s="88" t="s">
        <v>207</v>
      </c>
      <c r="H3" s="89" t="s">
        <v>204</v>
      </c>
      <c r="I3" s="89" t="s">
        <v>207</v>
      </c>
      <c r="J3" s="88" t="s">
        <v>204</v>
      </c>
      <c r="K3" s="88" t="s">
        <v>207</v>
      </c>
      <c r="L3" s="89" t="s">
        <v>204</v>
      </c>
      <c r="M3" s="89" t="s">
        <v>207</v>
      </c>
      <c r="N3" s="88" t="s">
        <v>204</v>
      </c>
      <c r="O3" s="88" t="s">
        <v>207</v>
      </c>
      <c r="P3" s="89" t="s">
        <v>204</v>
      </c>
      <c r="Q3" s="89" t="s">
        <v>207</v>
      </c>
      <c r="R3" s="88" t="s">
        <v>204</v>
      </c>
      <c r="S3" s="88" t="s">
        <v>207</v>
      </c>
      <c r="T3" s="89" t="s">
        <v>204</v>
      </c>
      <c r="U3" s="89" t="s">
        <v>207</v>
      </c>
      <c r="V3" s="88" t="s">
        <v>204</v>
      </c>
      <c r="W3" s="88" t="s">
        <v>207</v>
      </c>
      <c r="X3" s="89" t="s">
        <v>204</v>
      </c>
      <c r="Y3" s="89" t="s">
        <v>207</v>
      </c>
      <c r="Z3" s="88" t="s">
        <v>204</v>
      </c>
      <c r="AA3" s="88" t="s">
        <v>207</v>
      </c>
      <c r="AB3" s="314" t="s">
        <v>204</v>
      </c>
      <c r="AC3" s="314" t="s">
        <v>207</v>
      </c>
      <c r="AD3" s="311" t="s">
        <v>204</v>
      </c>
      <c r="AE3" s="311" t="s">
        <v>207</v>
      </c>
      <c r="AF3" s="63"/>
      <c r="AG3" s="63"/>
      <c r="AH3" s="63"/>
      <c r="AI3" s="63"/>
      <c r="AJ3" s="63"/>
      <c r="AK3" s="63"/>
      <c r="AL3" s="63"/>
    </row>
    <row r="4" spans="1:40" s="60" customFormat="1" ht="32" customHeight="1" x14ac:dyDescent="0.15">
      <c r="A4" s="90" t="s">
        <v>132</v>
      </c>
      <c r="B4" s="365">
        <v>89</v>
      </c>
      <c r="C4" s="365">
        <v>44162</v>
      </c>
      <c r="D4" s="365">
        <v>242</v>
      </c>
      <c r="E4" s="365">
        <v>129984</v>
      </c>
      <c r="F4" s="365">
        <v>158</v>
      </c>
      <c r="G4" s="365">
        <v>91513</v>
      </c>
      <c r="H4" s="365">
        <v>269</v>
      </c>
      <c r="I4" s="365">
        <v>136247</v>
      </c>
      <c r="J4" s="365">
        <v>214</v>
      </c>
      <c r="K4" s="365">
        <v>116460.5</v>
      </c>
      <c r="L4" s="365">
        <v>306</v>
      </c>
      <c r="M4" s="365">
        <v>163215</v>
      </c>
      <c r="N4" s="91">
        <v>192</v>
      </c>
      <c r="O4" s="91">
        <v>106386</v>
      </c>
      <c r="P4" s="91">
        <v>253</v>
      </c>
      <c r="Q4" s="91">
        <v>133955</v>
      </c>
      <c r="R4" s="91">
        <v>120</v>
      </c>
      <c r="S4" s="91">
        <v>60085</v>
      </c>
      <c r="T4" s="91"/>
      <c r="U4" s="91"/>
      <c r="V4" s="91"/>
      <c r="W4" s="91"/>
      <c r="X4" s="91"/>
      <c r="Y4" s="91"/>
      <c r="Z4" s="91"/>
      <c r="AA4" s="91"/>
      <c r="AB4" s="92">
        <f>B4+F4+J4+N4+R4+V4</f>
        <v>773</v>
      </c>
      <c r="AC4" s="92">
        <f>C4+G4+K4+O4+S4+W4</f>
        <v>418606.5</v>
      </c>
      <c r="AD4" s="92">
        <f t="shared" ref="AD4:AD17" si="0">D4+H4+L4+P4+T4+X4</f>
        <v>1070</v>
      </c>
      <c r="AE4" s="92">
        <f t="shared" ref="AE4:AE17" si="1">E4+I4+M4+Q4+U4+Y4</f>
        <v>563401</v>
      </c>
      <c r="AF4" s="63"/>
      <c r="AG4" s="63"/>
      <c r="AH4" s="63"/>
      <c r="AI4" s="63"/>
      <c r="AJ4" s="63"/>
      <c r="AK4" s="63"/>
      <c r="AL4" s="63"/>
    </row>
    <row r="5" spans="1:40" s="60" customFormat="1" ht="32" customHeight="1" x14ac:dyDescent="0.15">
      <c r="A5" s="90" t="s">
        <v>138</v>
      </c>
      <c r="B5" s="365">
        <v>71</v>
      </c>
      <c r="C5" s="365">
        <v>29600</v>
      </c>
      <c r="D5" s="365">
        <v>182</v>
      </c>
      <c r="E5" s="365">
        <v>80312</v>
      </c>
      <c r="F5" s="365">
        <v>169</v>
      </c>
      <c r="G5" s="365">
        <v>91521</v>
      </c>
      <c r="H5" s="365">
        <v>254</v>
      </c>
      <c r="I5" s="365">
        <v>122881</v>
      </c>
      <c r="J5" s="365">
        <v>213</v>
      </c>
      <c r="K5" s="365">
        <v>98199</v>
      </c>
      <c r="L5" s="365">
        <v>266</v>
      </c>
      <c r="M5" s="365">
        <v>116578</v>
      </c>
      <c r="N5" s="91">
        <v>149</v>
      </c>
      <c r="O5" s="91">
        <v>72966</v>
      </c>
      <c r="P5" s="91">
        <v>241</v>
      </c>
      <c r="Q5" s="91">
        <v>117131.5</v>
      </c>
      <c r="R5" s="91">
        <v>117</v>
      </c>
      <c r="S5" s="91">
        <v>55622</v>
      </c>
      <c r="T5" s="91"/>
      <c r="U5" s="91"/>
      <c r="V5" s="91"/>
      <c r="W5" s="91"/>
      <c r="X5" s="91"/>
      <c r="Y5" s="91"/>
      <c r="Z5" s="91"/>
      <c r="AA5" s="91"/>
      <c r="AB5" s="92">
        <f t="shared" ref="AB5:AB17" si="2">B5+F5+J5+N5+R5+V5</f>
        <v>719</v>
      </c>
      <c r="AC5" s="92">
        <f t="shared" ref="AC5:AC17" si="3">C5+G5+K5+O5+S5+W5</f>
        <v>347908</v>
      </c>
      <c r="AD5" s="92">
        <f t="shared" si="0"/>
        <v>943</v>
      </c>
      <c r="AE5" s="92">
        <f t="shared" si="1"/>
        <v>436902.5</v>
      </c>
      <c r="AF5" s="63"/>
      <c r="AG5" s="63"/>
      <c r="AH5" s="63"/>
      <c r="AI5" s="63"/>
      <c r="AJ5" s="63"/>
      <c r="AK5" s="63"/>
      <c r="AL5" s="63"/>
      <c r="AN5" s="470" t="s">
        <v>17</v>
      </c>
    </row>
    <row r="6" spans="1:40" s="60" customFormat="1" ht="32" customHeight="1" x14ac:dyDescent="0.15">
      <c r="A6" s="90" t="s">
        <v>1</v>
      </c>
      <c r="B6" s="365">
        <v>87</v>
      </c>
      <c r="C6" s="365">
        <v>56018</v>
      </c>
      <c r="D6" s="365">
        <v>263</v>
      </c>
      <c r="E6" s="365">
        <v>124444</v>
      </c>
      <c r="F6" s="365">
        <v>158</v>
      </c>
      <c r="G6" s="365">
        <v>87462</v>
      </c>
      <c r="H6" s="365">
        <v>244</v>
      </c>
      <c r="I6" s="365">
        <v>150004</v>
      </c>
      <c r="J6" s="365">
        <v>173</v>
      </c>
      <c r="K6" s="365">
        <v>89404</v>
      </c>
      <c r="L6" s="365">
        <v>292</v>
      </c>
      <c r="M6" s="365">
        <v>168965.2</v>
      </c>
      <c r="N6" s="91">
        <v>157</v>
      </c>
      <c r="O6" s="91">
        <v>87678</v>
      </c>
      <c r="P6" s="91">
        <v>266</v>
      </c>
      <c r="Q6" s="91">
        <v>138790</v>
      </c>
      <c r="R6" s="91">
        <v>117</v>
      </c>
      <c r="S6" s="91">
        <v>71221</v>
      </c>
      <c r="T6" s="91"/>
      <c r="U6" s="91"/>
      <c r="V6" s="91"/>
      <c r="W6" s="91"/>
      <c r="X6" s="91"/>
      <c r="Y6" s="91"/>
      <c r="Z6" s="91"/>
      <c r="AA6" s="91"/>
      <c r="AB6" s="92">
        <f t="shared" si="2"/>
        <v>692</v>
      </c>
      <c r="AC6" s="92">
        <f t="shared" si="3"/>
        <v>391783</v>
      </c>
      <c r="AD6" s="92">
        <f t="shared" si="0"/>
        <v>1065</v>
      </c>
      <c r="AE6" s="92">
        <f t="shared" si="1"/>
        <v>582203.19999999995</v>
      </c>
      <c r="AF6" s="63"/>
      <c r="AG6" s="63"/>
      <c r="AH6" s="63"/>
      <c r="AI6" s="63"/>
      <c r="AJ6" s="63"/>
      <c r="AK6" s="63"/>
      <c r="AL6" s="63"/>
      <c r="AN6" s="470"/>
    </row>
    <row r="7" spans="1:40" s="60" customFormat="1" ht="32" customHeight="1" x14ac:dyDescent="0.15">
      <c r="A7" s="90" t="s">
        <v>107</v>
      </c>
      <c r="B7" s="365">
        <v>132</v>
      </c>
      <c r="C7" s="365">
        <v>71470</v>
      </c>
      <c r="D7" s="365">
        <v>345</v>
      </c>
      <c r="E7" s="365">
        <v>167835</v>
      </c>
      <c r="F7" s="365">
        <v>248</v>
      </c>
      <c r="G7" s="365">
        <v>133500</v>
      </c>
      <c r="H7" s="365">
        <v>336</v>
      </c>
      <c r="I7" s="365">
        <v>160982.5</v>
      </c>
      <c r="J7" s="365">
        <v>259</v>
      </c>
      <c r="K7" s="365">
        <v>138928</v>
      </c>
      <c r="L7" s="365">
        <v>379</v>
      </c>
      <c r="M7" s="365">
        <v>206620</v>
      </c>
      <c r="N7" s="91">
        <v>238</v>
      </c>
      <c r="O7" s="91">
        <v>130587</v>
      </c>
      <c r="P7" s="91">
        <v>366</v>
      </c>
      <c r="Q7" s="91">
        <v>183689</v>
      </c>
      <c r="R7" s="91">
        <v>175</v>
      </c>
      <c r="S7" s="91">
        <v>93218</v>
      </c>
      <c r="T7" s="91"/>
      <c r="U7" s="91"/>
      <c r="V7" s="91"/>
      <c r="W7" s="91"/>
      <c r="X7" s="91"/>
      <c r="Y7" s="91"/>
      <c r="Z7" s="91"/>
      <c r="AA7" s="91"/>
      <c r="AB7" s="92">
        <f t="shared" si="2"/>
        <v>1052</v>
      </c>
      <c r="AC7" s="92">
        <f t="shared" si="3"/>
        <v>567703</v>
      </c>
      <c r="AD7" s="92">
        <f t="shared" si="0"/>
        <v>1426</v>
      </c>
      <c r="AE7" s="92">
        <f t="shared" si="1"/>
        <v>719126.5</v>
      </c>
      <c r="AF7" s="63"/>
      <c r="AG7" s="63"/>
      <c r="AH7" s="63"/>
      <c r="AI7" s="63"/>
      <c r="AJ7" s="63"/>
      <c r="AK7" s="63"/>
      <c r="AL7" s="63"/>
    </row>
    <row r="8" spans="1:40" s="60" customFormat="1" ht="32" customHeight="1" x14ac:dyDescent="0.15">
      <c r="A8" s="90" t="s">
        <v>158</v>
      </c>
      <c r="B8" s="365">
        <v>76</v>
      </c>
      <c r="C8" s="365">
        <v>30656</v>
      </c>
      <c r="D8" s="365">
        <v>171</v>
      </c>
      <c r="E8" s="365">
        <v>74140.5</v>
      </c>
      <c r="F8" s="365">
        <v>125</v>
      </c>
      <c r="G8" s="365">
        <v>60270</v>
      </c>
      <c r="H8" s="365">
        <v>207</v>
      </c>
      <c r="I8" s="365">
        <v>98704</v>
      </c>
      <c r="J8" s="365">
        <v>141</v>
      </c>
      <c r="K8" s="365">
        <v>69040</v>
      </c>
      <c r="L8" s="365">
        <v>170</v>
      </c>
      <c r="M8" s="365">
        <v>84820</v>
      </c>
      <c r="N8" s="91">
        <v>122</v>
      </c>
      <c r="O8" s="91">
        <v>58784</v>
      </c>
      <c r="P8" s="91">
        <v>212</v>
      </c>
      <c r="Q8" s="91">
        <v>96660</v>
      </c>
      <c r="R8" s="91">
        <v>91</v>
      </c>
      <c r="S8" s="91">
        <v>37570</v>
      </c>
      <c r="T8" s="91"/>
      <c r="U8" s="91"/>
      <c r="V8" s="91"/>
      <c r="W8" s="91"/>
      <c r="X8" s="91"/>
      <c r="Y8" s="91"/>
      <c r="Z8" s="91"/>
      <c r="AA8" s="91"/>
      <c r="AB8" s="92">
        <f t="shared" si="2"/>
        <v>555</v>
      </c>
      <c r="AC8" s="92">
        <f t="shared" si="3"/>
        <v>256320</v>
      </c>
      <c r="AD8" s="92">
        <f t="shared" si="0"/>
        <v>760</v>
      </c>
      <c r="AE8" s="92">
        <f t="shared" si="1"/>
        <v>354324.5</v>
      </c>
      <c r="AF8" s="63"/>
      <c r="AG8" s="399" t="s">
        <v>231</v>
      </c>
      <c r="AH8" s="399"/>
      <c r="AI8" s="399" t="s">
        <v>232</v>
      </c>
      <c r="AJ8" s="399"/>
      <c r="AK8" s="63"/>
      <c r="AL8" s="63"/>
    </row>
    <row r="9" spans="1:40" s="60" customFormat="1" ht="32" customHeight="1" x14ac:dyDescent="0.15">
      <c r="A9" s="90" t="s">
        <v>196</v>
      </c>
      <c r="B9" s="365">
        <v>37</v>
      </c>
      <c r="C9" s="365">
        <v>16347</v>
      </c>
      <c r="D9" s="365">
        <v>130</v>
      </c>
      <c r="E9" s="365">
        <v>56238</v>
      </c>
      <c r="F9" s="365">
        <v>127</v>
      </c>
      <c r="G9" s="365">
        <v>65182</v>
      </c>
      <c r="H9" s="365">
        <v>184</v>
      </c>
      <c r="I9" s="365">
        <v>84582</v>
      </c>
      <c r="J9" s="365">
        <v>145</v>
      </c>
      <c r="K9" s="365">
        <v>73671</v>
      </c>
      <c r="L9" s="365">
        <v>163</v>
      </c>
      <c r="M9" s="365">
        <v>76802</v>
      </c>
      <c r="N9" s="91">
        <v>107</v>
      </c>
      <c r="O9" s="91">
        <v>48552</v>
      </c>
      <c r="P9" s="91">
        <v>200</v>
      </c>
      <c r="Q9" s="91">
        <v>105860</v>
      </c>
      <c r="R9" s="91">
        <v>90</v>
      </c>
      <c r="S9" s="91">
        <v>48704</v>
      </c>
      <c r="T9" s="91"/>
      <c r="U9" s="91"/>
      <c r="V9" s="91"/>
      <c r="W9" s="91"/>
      <c r="X9" s="91"/>
      <c r="Y9" s="91"/>
      <c r="Z9" s="91"/>
      <c r="AA9" s="91"/>
      <c r="AB9" s="92">
        <f t="shared" si="2"/>
        <v>506</v>
      </c>
      <c r="AC9" s="92">
        <f t="shared" si="3"/>
        <v>252456</v>
      </c>
      <c r="AD9" s="92">
        <f t="shared" si="0"/>
        <v>677</v>
      </c>
      <c r="AE9" s="92">
        <f t="shared" si="1"/>
        <v>323482</v>
      </c>
      <c r="AF9" s="63"/>
      <c r="AG9" s="474">
        <f>AB21</f>
        <v>794895.0675</v>
      </c>
      <c r="AH9" s="399"/>
      <c r="AI9" s="474">
        <f>AD21</f>
        <v>436239.43550000002</v>
      </c>
      <c r="AJ9" s="399"/>
      <c r="AK9" s="63"/>
      <c r="AL9" s="63"/>
    </row>
    <row r="10" spans="1:40" s="60" customFormat="1" ht="32" customHeight="1" x14ac:dyDescent="0.15">
      <c r="A10" s="90" t="s">
        <v>246</v>
      </c>
      <c r="B10" s="365">
        <v>130</v>
      </c>
      <c r="C10" s="365">
        <v>56684</v>
      </c>
      <c r="D10" s="365">
        <v>494</v>
      </c>
      <c r="E10" s="365">
        <v>173066</v>
      </c>
      <c r="F10" s="365">
        <v>263</v>
      </c>
      <c r="G10" s="365">
        <v>86614</v>
      </c>
      <c r="H10" s="365">
        <v>523</v>
      </c>
      <c r="I10" s="365">
        <v>209424</v>
      </c>
      <c r="J10" s="365">
        <v>275</v>
      </c>
      <c r="K10" s="365">
        <v>103448</v>
      </c>
      <c r="L10" s="365">
        <v>549</v>
      </c>
      <c r="M10" s="365">
        <v>209645.5</v>
      </c>
      <c r="N10" s="91">
        <v>264</v>
      </c>
      <c r="O10" s="91">
        <v>101450</v>
      </c>
      <c r="P10" s="91">
        <v>540</v>
      </c>
      <c r="Q10" s="91">
        <v>212526</v>
      </c>
      <c r="R10" s="91">
        <v>159</v>
      </c>
      <c r="S10" s="91">
        <v>68930</v>
      </c>
      <c r="T10" s="91"/>
      <c r="U10" s="91"/>
      <c r="V10" s="91"/>
      <c r="W10" s="91"/>
      <c r="X10" s="91"/>
      <c r="Y10" s="91"/>
      <c r="Z10" s="91"/>
      <c r="AA10" s="91"/>
      <c r="AB10" s="92">
        <f t="shared" si="2"/>
        <v>1091</v>
      </c>
      <c r="AC10" s="92">
        <f t="shared" si="3"/>
        <v>417126</v>
      </c>
      <c r="AD10" s="92">
        <f t="shared" si="0"/>
        <v>2106</v>
      </c>
      <c r="AE10" s="92">
        <f t="shared" si="1"/>
        <v>804661.5</v>
      </c>
      <c r="AF10" s="63"/>
      <c r="AG10" s="63"/>
      <c r="AH10" s="63"/>
      <c r="AI10" s="63"/>
      <c r="AJ10" s="63"/>
      <c r="AK10" s="63"/>
      <c r="AL10" s="63"/>
    </row>
    <row r="11" spans="1:40" s="60" customFormat="1" ht="32" customHeight="1" x14ac:dyDescent="0.15">
      <c r="A11" s="90" t="s">
        <v>78</v>
      </c>
      <c r="B11" s="365">
        <v>243</v>
      </c>
      <c r="C11" s="365">
        <v>122348</v>
      </c>
      <c r="D11" s="365">
        <v>399</v>
      </c>
      <c r="E11" s="365">
        <v>194187</v>
      </c>
      <c r="F11" s="365">
        <v>403</v>
      </c>
      <c r="G11" s="365">
        <v>204307</v>
      </c>
      <c r="H11" s="365">
        <v>492</v>
      </c>
      <c r="I11" s="365">
        <v>230291</v>
      </c>
      <c r="J11" s="365">
        <v>470</v>
      </c>
      <c r="K11" s="365">
        <v>225625</v>
      </c>
      <c r="L11" s="365">
        <v>502</v>
      </c>
      <c r="M11" s="365">
        <v>242989</v>
      </c>
      <c r="N11" s="91">
        <v>401</v>
      </c>
      <c r="O11" s="91">
        <v>202872</v>
      </c>
      <c r="P11" s="91">
        <v>523</v>
      </c>
      <c r="Q11" s="91">
        <v>251004</v>
      </c>
      <c r="R11" s="91">
        <v>255</v>
      </c>
      <c r="S11" s="91">
        <v>133609</v>
      </c>
      <c r="T11" s="91"/>
      <c r="U11" s="91"/>
      <c r="V11" s="91"/>
      <c r="W11" s="91"/>
      <c r="X11" s="91"/>
      <c r="Y11" s="91"/>
      <c r="Z11" s="91"/>
      <c r="AA11" s="91"/>
      <c r="AB11" s="92">
        <f t="shared" si="2"/>
        <v>1772</v>
      </c>
      <c r="AC11" s="92">
        <f t="shared" si="3"/>
        <v>888761</v>
      </c>
      <c r="AD11" s="92">
        <f t="shared" si="0"/>
        <v>1916</v>
      </c>
      <c r="AE11" s="92">
        <f t="shared" si="1"/>
        <v>918471</v>
      </c>
      <c r="AF11" s="63"/>
      <c r="AG11" s="63"/>
      <c r="AH11" s="63"/>
      <c r="AI11" s="63"/>
      <c r="AJ11" s="63"/>
      <c r="AK11" s="63"/>
      <c r="AL11" s="63"/>
    </row>
    <row r="12" spans="1:40" s="60" customFormat="1" ht="32" customHeight="1" x14ac:dyDescent="0.15">
      <c r="A12" s="90" t="s">
        <v>45</v>
      </c>
      <c r="B12" s="365">
        <v>124</v>
      </c>
      <c r="C12" s="365">
        <v>67956</v>
      </c>
      <c r="D12" s="365">
        <v>239</v>
      </c>
      <c r="E12" s="365">
        <v>113409.5</v>
      </c>
      <c r="F12" s="365">
        <v>242</v>
      </c>
      <c r="G12" s="365">
        <v>112138</v>
      </c>
      <c r="H12" s="365">
        <v>337</v>
      </c>
      <c r="I12" s="365">
        <v>184654</v>
      </c>
      <c r="J12" s="365">
        <v>241</v>
      </c>
      <c r="K12" s="365">
        <v>122774</v>
      </c>
      <c r="L12" s="365">
        <v>356</v>
      </c>
      <c r="M12" s="365">
        <v>179241</v>
      </c>
      <c r="N12" s="91">
        <v>236</v>
      </c>
      <c r="O12" s="91">
        <v>130320</v>
      </c>
      <c r="P12" s="91">
        <v>336</v>
      </c>
      <c r="Q12" s="91">
        <v>171344</v>
      </c>
      <c r="R12" s="91">
        <v>148</v>
      </c>
      <c r="S12" s="91">
        <v>77164</v>
      </c>
      <c r="T12" s="91"/>
      <c r="U12" s="91"/>
      <c r="V12" s="91"/>
      <c r="W12" s="91"/>
      <c r="X12" s="91"/>
      <c r="Y12" s="91"/>
      <c r="Z12" s="91"/>
      <c r="AA12" s="91"/>
      <c r="AB12" s="92">
        <f t="shared" si="2"/>
        <v>991</v>
      </c>
      <c r="AC12" s="92">
        <f t="shared" si="3"/>
        <v>510352</v>
      </c>
      <c r="AD12" s="92">
        <f t="shared" si="0"/>
        <v>1268</v>
      </c>
      <c r="AE12" s="92">
        <f t="shared" si="1"/>
        <v>648648.5</v>
      </c>
      <c r="AF12" s="63"/>
      <c r="AG12" s="63"/>
      <c r="AH12" s="63"/>
      <c r="AI12" s="63"/>
      <c r="AJ12" s="63"/>
      <c r="AK12" s="63"/>
      <c r="AL12" s="63"/>
    </row>
    <row r="13" spans="1:40" s="60" customFormat="1" ht="32" customHeight="1" x14ac:dyDescent="0.15">
      <c r="A13" s="90" t="s">
        <v>80</v>
      </c>
      <c r="B13" s="365">
        <v>76</v>
      </c>
      <c r="C13" s="365">
        <v>40860</v>
      </c>
      <c r="D13" s="365">
        <v>193</v>
      </c>
      <c r="E13" s="365">
        <v>99782</v>
      </c>
      <c r="F13" s="365">
        <v>107</v>
      </c>
      <c r="G13" s="365">
        <v>55048</v>
      </c>
      <c r="H13" s="365">
        <v>180</v>
      </c>
      <c r="I13" s="365">
        <v>109652</v>
      </c>
      <c r="J13" s="365">
        <v>118</v>
      </c>
      <c r="K13" s="365">
        <v>66050</v>
      </c>
      <c r="L13" s="365">
        <v>181</v>
      </c>
      <c r="M13" s="365">
        <v>102806</v>
      </c>
      <c r="N13" s="91">
        <v>104</v>
      </c>
      <c r="O13" s="91">
        <v>52144</v>
      </c>
      <c r="P13" s="91">
        <v>224</v>
      </c>
      <c r="Q13" s="91">
        <v>131586</v>
      </c>
      <c r="R13" s="91">
        <v>69</v>
      </c>
      <c r="S13" s="91">
        <v>33940</v>
      </c>
      <c r="T13" s="91"/>
      <c r="U13" s="91"/>
      <c r="V13" s="91"/>
      <c r="W13" s="91"/>
      <c r="X13" s="91"/>
      <c r="Y13" s="91"/>
      <c r="Z13" s="91"/>
      <c r="AA13" s="91"/>
      <c r="AB13" s="92">
        <f t="shared" si="2"/>
        <v>474</v>
      </c>
      <c r="AC13" s="92">
        <f t="shared" si="3"/>
        <v>248042</v>
      </c>
      <c r="AD13" s="92">
        <f t="shared" si="0"/>
        <v>778</v>
      </c>
      <c r="AE13" s="92">
        <f t="shared" si="1"/>
        <v>443826</v>
      </c>
      <c r="AF13" s="63"/>
      <c r="AG13" s="63"/>
      <c r="AH13" s="63"/>
      <c r="AI13" s="63"/>
      <c r="AJ13" s="63"/>
      <c r="AK13" s="63"/>
      <c r="AL13" s="63"/>
    </row>
    <row r="14" spans="1:40" s="60" customFormat="1" ht="32" customHeight="1" x14ac:dyDescent="0.15">
      <c r="A14" s="90" t="s">
        <v>111</v>
      </c>
      <c r="B14" s="365">
        <v>189</v>
      </c>
      <c r="C14" s="365">
        <v>93749</v>
      </c>
      <c r="D14" s="365">
        <v>464</v>
      </c>
      <c r="E14" s="365">
        <v>214888.5</v>
      </c>
      <c r="F14" s="365">
        <v>372</v>
      </c>
      <c r="G14" s="365">
        <v>170233</v>
      </c>
      <c r="H14" s="365">
        <v>567</v>
      </c>
      <c r="I14" s="365">
        <v>250980</v>
      </c>
      <c r="J14" s="365">
        <v>425</v>
      </c>
      <c r="K14" s="365">
        <v>190074</v>
      </c>
      <c r="L14" s="365">
        <v>548</v>
      </c>
      <c r="M14" s="365">
        <v>250706</v>
      </c>
      <c r="N14" s="91">
        <v>342</v>
      </c>
      <c r="O14" s="91">
        <v>170613</v>
      </c>
      <c r="P14" s="91">
        <v>586</v>
      </c>
      <c r="Q14" s="91">
        <v>288763</v>
      </c>
      <c r="R14" s="91">
        <v>244</v>
      </c>
      <c r="S14" s="91">
        <v>107377</v>
      </c>
      <c r="T14" s="91"/>
      <c r="U14" s="91"/>
      <c r="V14" s="91"/>
      <c r="W14" s="91"/>
      <c r="X14" s="91"/>
      <c r="Y14" s="91"/>
      <c r="Z14" s="91"/>
      <c r="AA14" s="91"/>
      <c r="AB14" s="92">
        <f t="shared" si="2"/>
        <v>1572</v>
      </c>
      <c r="AC14" s="92">
        <f t="shared" si="3"/>
        <v>732046</v>
      </c>
      <c r="AD14" s="92">
        <f t="shared" si="0"/>
        <v>2165</v>
      </c>
      <c r="AE14" s="92">
        <f t="shared" si="1"/>
        <v>1005337.5</v>
      </c>
      <c r="AF14" s="63"/>
      <c r="AG14" s="63"/>
      <c r="AH14" s="63"/>
      <c r="AI14" s="63"/>
      <c r="AJ14" s="63"/>
      <c r="AK14" s="63"/>
      <c r="AL14" s="63"/>
    </row>
    <row r="15" spans="1:40" s="60" customFormat="1" ht="32" customHeight="1" x14ac:dyDescent="0.15">
      <c r="A15" s="90" t="s">
        <v>292</v>
      </c>
      <c r="B15" s="365">
        <v>28</v>
      </c>
      <c r="C15" s="365">
        <v>14260</v>
      </c>
      <c r="D15" s="365">
        <v>110</v>
      </c>
      <c r="E15" s="365">
        <v>45142</v>
      </c>
      <c r="F15" s="365">
        <v>66</v>
      </c>
      <c r="G15" s="365">
        <v>32974</v>
      </c>
      <c r="H15" s="365">
        <v>163</v>
      </c>
      <c r="I15" s="365">
        <v>74857</v>
      </c>
      <c r="J15" s="365">
        <v>79</v>
      </c>
      <c r="K15" s="365">
        <v>37696.54</v>
      </c>
      <c r="L15" s="365">
        <v>199</v>
      </c>
      <c r="M15" s="365">
        <v>87520</v>
      </c>
      <c r="N15" s="91">
        <v>78</v>
      </c>
      <c r="O15" s="91">
        <v>37466</v>
      </c>
      <c r="P15" s="91">
        <v>108</v>
      </c>
      <c r="Q15" s="91">
        <v>47295</v>
      </c>
      <c r="R15" s="91">
        <v>39</v>
      </c>
      <c r="S15" s="91">
        <v>19550</v>
      </c>
      <c r="T15" s="91"/>
      <c r="U15" s="91"/>
      <c r="V15" s="91"/>
      <c r="W15" s="91"/>
      <c r="X15" s="91"/>
      <c r="Y15" s="91"/>
      <c r="Z15" s="91"/>
      <c r="AA15" s="91"/>
      <c r="AB15" s="92">
        <f t="shared" si="2"/>
        <v>290</v>
      </c>
      <c r="AC15" s="92">
        <f t="shared" si="3"/>
        <v>141946.54</v>
      </c>
      <c r="AD15" s="92">
        <f t="shared" si="0"/>
        <v>580</v>
      </c>
      <c r="AE15" s="92">
        <f t="shared" si="1"/>
        <v>254814</v>
      </c>
      <c r="AF15" s="63"/>
      <c r="AG15" s="63"/>
      <c r="AH15" s="63"/>
      <c r="AI15" s="63"/>
      <c r="AJ15" s="63"/>
      <c r="AK15" s="63"/>
      <c r="AL15" s="63"/>
    </row>
    <row r="16" spans="1:40" s="60" customFormat="1" ht="32" customHeight="1" x14ac:dyDescent="0.15">
      <c r="A16" s="90" t="s">
        <v>306</v>
      </c>
      <c r="B16" s="365">
        <v>102</v>
      </c>
      <c r="C16" s="365">
        <v>45178</v>
      </c>
      <c r="D16" s="365">
        <v>250</v>
      </c>
      <c r="E16" s="365">
        <v>120319</v>
      </c>
      <c r="F16" s="365">
        <v>224</v>
      </c>
      <c r="G16" s="365">
        <v>104580</v>
      </c>
      <c r="H16" s="365">
        <v>284</v>
      </c>
      <c r="I16" s="365">
        <v>129267</v>
      </c>
      <c r="J16" s="365">
        <v>276</v>
      </c>
      <c r="K16" s="365">
        <v>126033</v>
      </c>
      <c r="L16" s="365">
        <v>279</v>
      </c>
      <c r="M16" s="365">
        <v>122543.51</v>
      </c>
      <c r="N16" s="91">
        <v>207</v>
      </c>
      <c r="O16" s="91">
        <v>98598</v>
      </c>
      <c r="P16" s="91">
        <v>286</v>
      </c>
      <c r="Q16" s="91">
        <v>129850</v>
      </c>
      <c r="R16" s="91">
        <v>105</v>
      </c>
      <c r="S16" s="91">
        <v>44328</v>
      </c>
      <c r="T16" s="91"/>
      <c r="U16" s="91"/>
      <c r="V16" s="91"/>
      <c r="W16" s="91"/>
      <c r="X16" s="91"/>
      <c r="Y16" s="91"/>
      <c r="Z16" s="91"/>
      <c r="AA16" s="91"/>
      <c r="AB16" s="92">
        <f t="shared" si="2"/>
        <v>914</v>
      </c>
      <c r="AC16" s="92">
        <f t="shared" si="3"/>
        <v>418717</v>
      </c>
      <c r="AD16" s="92">
        <f t="shared" si="0"/>
        <v>1099</v>
      </c>
      <c r="AE16" s="92">
        <f t="shared" si="1"/>
        <v>501979.51</v>
      </c>
      <c r="AF16" s="63"/>
      <c r="AG16" s="63"/>
      <c r="AH16" s="63"/>
      <c r="AI16" s="63"/>
      <c r="AJ16" s="63"/>
      <c r="AK16" s="63"/>
      <c r="AL16" s="63"/>
    </row>
    <row r="17" spans="1:38" s="60" customFormat="1" ht="32" customHeight="1" x14ac:dyDescent="0.15">
      <c r="A17" s="90" t="s">
        <v>361</v>
      </c>
      <c r="B17" s="365">
        <v>30</v>
      </c>
      <c r="C17" s="365">
        <v>12194</v>
      </c>
      <c r="D17" s="365">
        <v>113</v>
      </c>
      <c r="E17" s="365">
        <v>61171</v>
      </c>
      <c r="F17" s="365">
        <v>87</v>
      </c>
      <c r="G17" s="365">
        <v>45344</v>
      </c>
      <c r="H17" s="365">
        <v>119</v>
      </c>
      <c r="I17" s="365">
        <v>62352</v>
      </c>
      <c r="J17" s="365">
        <v>84</v>
      </c>
      <c r="K17" s="365">
        <v>47080</v>
      </c>
      <c r="L17" s="365">
        <v>92</v>
      </c>
      <c r="M17" s="365">
        <v>48422.5</v>
      </c>
      <c r="N17" s="91">
        <v>74</v>
      </c>
      <c r="O17" s="91">
        <v>41364</v>
      </c>
      <c r="P17" s="91">
        <v>109</v>
      </c>
      <c r="Q17" s="91">
        <v>51922</v>
      </c>
      <c r="R17" s="91">
        <v>34</v>
      </c>
      <c r="S17" s="91">
        <v>14180</v>
      </c>
      <c r="T17" s="91"/>
      <c r="U17" s="91"/>
      <c r="V17" s="91"/>
      <c r="W17" s="91"/>
      <c r="X17" s="91"/>
      <c r="Y17" s="91"/>
      <c r="Z17" s="91"/>
      <c r="AA17" s="91"/>
      <c r="AB17" s="92">
        <f t="shared" si="2"/>
        <v>309</v>
      </c>
      <c r="AC17" s="92">
        <f t="shared" si="3"/>
        <v>160162</v>
      </c>
      <c r="AD17" s="92">
        <f t="shared" si="0"/>
        <v>433</v>
      </c>
      <c r="AE17" s="92">
        <f t="shared" si="1"/>
        <v>223867.5</v>
      </c>
      <c r="AF17" s="63"/>
      <c r="AG17" s="63"/>
      <c r="AH17" s="63"/>
      <c r="AI17" s="63"/>
      <c r="AJ17" s="63"/>
      <c r="AK17" s="63"/>
      <c r="AL17" s="63"/>
    </row>
    <row r="18" spans="1:38" s="60" customFormat="1" ht="32" customHeight="1" x14ac:dyDescent="0.15">
      <c r="A18" s="90" t="s">
        <v>359</v>
      </c>
      <c r="B18" s="365">
        <v>51</v>
      </c>
      <c r="C18" s="365">
        <v>27580</v>
      </c>
      <c r="D18" s="365">
        <v>184</v>
      </c>
      <c r="E18" s="365">
        <v>105458</v>
      </c>
      <c r="F18" s="365">
        <v>135</v>
      </c>
      <c r="G18" s="365">
        <v>72200</v>
      </c>
      <c r="H18" s="365">
        <v>219</v>
      </c>
      <c r="I18" s="365">
        <v>131411</v>
      </c>
      <c r="J18" s="365">
        <v>171</v>
      </c>
      <c r="K18" s="365">
        <v>88686</v>
      </c>
      <c r="L18" s="365">
        <v>243</v>
      </c>
      <c r="M18" s="365">
        <v>129621</v>
      </c>
      <c r="N18" s="91">
        <v>104</v>
      </c>
      <c r="O18" s="91">
        <v>56930.5</v>
      </c>
      <c r="P18" s="91">
        <v>222</v>
      </c>
      <c r="Q18" s="91">
        <v>118149.5</v>
      </c>
      <c r="R18" s="91">
        <v>79</v>
      </c>
      <c r="S18" s="91">
        <v>40545</v>
      </c>
      <c r="T18" s="91"/>
      <c r="U18" s="91"/>
      <c r="V18" s="91"/>
      <c r="W18" s="91"/>
      <c r="X18" s="91"/>
      <c r="Y18" s="91"/>
      <c r="Z18" s="91"/>
      <c r="AA18" s="91"/>
      <c r="AB18" s="92">
        <f t="shared" ref="AB18:AB19" si="4">B18+F18+J18+N18+R18+V18</f>
        <v>540</v>
      </c>
      <c r="AC18" s="92">
        <f t="shared" ref="AC18:AC19" si="5">C18+G18+K18+O18+S18+W18</f>
        <v>285941.5</v>
      </c>
      <c r="AD18" s="92">
        <f t="shared" ref="AD18:AD19" si="6">D18+H18+L18+P18+T18+X18</f>
        <v>868</v>
      </c>
      <c r="AE18" s="92">
        <f t="shared" ref="AE18:AE19" si="7">E18+I18+M18+Q18+U18+Y18</f>
        <v>484639.5</v>
      </c>
      <c r="AF18" s="63"/>
      <c r="AG18" s="63"/>
      <c r="AH18" s="63"/>
      <c r="AI18" s="63"/>
      <c r="AJ18" s="63"/>
      <c r="AK18" s="63"/>
      <c r="AL18" s="63"/>
    </row>
    <row r="19" spans="1:38" s="60" customFormat="1" ht="32" customHeight="1" x14ac:dyDescent="0.15">
      <c r="A19" s="329" t="s">
        <v>371</v>
      </c>
      <c r="B19" s="365">
        <v>90</v>
      </c>
      <c r="C19" s="365">
        <v>34551</v>
      </c>
      <c r="D19" s="365">
        <v>203</v>
      </c>
      <c r="E19" s="365">
        <v>109560</v>
      </c>
      <c r="F19" s="365">
        <v>197</v>
      </c>
      <c r="G19" s="365">
        <v>90880</v>
      </c>
      <c r="H19" s="365">
        <v>273</v>
      </c>
      <c r="I19" s="365">
        <v>121334</v>
      </c>
      <c r="J19" s="365">
        <v>185</v>
      </c>
      <c r="K19" s="365">
        <v>86512</v>
      </c>
      <c r="L19" s="365">
        <v>219</v>
      </c>
      <c r="M19" s="365">
        <v>107842</v>
      </c>
      <c r="N19" s="91">
        <v>140</v>
      </c>
      <c r="O19" s="91">
        <v>64387</v>
      </c>
      <c r="P19" s="91">
        <v>291</v>
      </c>
      <c r="Q19" s="91">
        <v>120368</v>
      </c>
      <c r="R19" s="91">
        <v>107</v>
      </c>
      <c r="S19" s="91">
        <v>44960</v>
      </c>
      <c r="T19" s="91"/>
      <c r="U19" s="91"/>
      <c r="V19" s="91"/>
      <c r="W19" s="91"/>
      <c r="X19" s="91"/>
      <c r="Y19" s="91"/>
      <c r="Z19" s="91"/>
      <c r="AA19" s="91"/>
      <c r="AB19" s="92">
        <f t="shared" si="4"/>
        <v>719</v>
      </c>
      <c r="AC19" s="92">
        <f t="shared" si="5"/>
        <v>321290</v>
      </c>
      <c r="AD19" s="92">
        <f t="shared" si="6"/>
        <v>986</v>
      </c>
      <c r="AE19" s="92">
        <f t="shared" si="7"/>
        <v>459104</v>
      </c>
      <c r="AF19" s="63"/>
      <c r="AG19" s="63"/>
      <c r="AH19" s="63"/>
      <c r="AI19" s="63"/>
      <c r="AJ19" s="63"/>
      <c r="AK19" s="63"/>
      <c r="AL19" s="63"/>
    </row>
    <row r="20" spans="1:38" s="95" customFormat="1" ht="32" customHeight="1" x14ac:dyDescent="0.15">
      <c r="A20" s="471" t="s">
        <v>202</v>
      </c>
      <c r="B20" s="93">
        <f>SUM(B4:B18)</f>
        <v>1465</v>
      </c>
      <c r="C20" s="93">
        <f t="shared" ref="C20" si="8">SUM(C4:C18)</f>
        <v>729062</v>
      </c>
      <c r="D20" s="310">
        <f>SUM(D4:D19)</f>
        <v>3982</v>
      </c>
      <c r="E20" s="310">
        <f t="shared" ref="E20:V20" si="9">SUM(E4:E19)</f>
        <v>1869936.5</v>
      </c>
      <c r="F20" s="330">
        <f t="shared" si="9"/>
        <v>3081</v>
      </c>
      <c r="G20" s="330">
        <f t="shared" si="9"/>
        <v>1503766</v>
      </c>
      <c r="H20" s="310">
        <f t="shared" si="9"/>
        <v>4651</v>
      </c>
      <c r="I20" s="310">
        <f t="shared" si="9"/>
        <v>2257622.5</v>
      </c>
      <c r="J20" s="330">
        <f t="shared" si="9"/>
        <v>3469</v>
      </c>
      <c r="K20" s="330">
        <f t="shared" si="9"/>
        <v>1679681.04</v>
      </c>
      <c r="L20" s="310">
        <f t="shared" si="9"/>
        <v>4744</v>
      </c>
      <c r="M20" s="310">
        <f t="shared" si="9"/>
        <v>2298336.71</v>
      </c>
      <c r="N20" s="330">
        <f t="shared" si="9"/>
        <v>2915</v>
      </c>
      <c r="O20" s="330">
        <f t="shared" si="9"/>
        <v>1461097.5</v>
      </c>
      <c r="P20" s="310">
        <f t="shared" si="9"/>
        <v>4763</v>
      </c>
      <c r="Q20" s="310">
        <f t="shared" si="9"/>
        <v>2298893</v>
      </c>
      <c r="R20" s="330">
        <f t="shared" si="9"/>
        <v>1949</v>
      </c>
      <c r="S20" s="330">
        <f t="shared" si="9"/>
        <v>951003</v>
      </c>
      <c r="T20" s="310">
        <f t="shared" si="9"/>
        <v>0</v>
      </c>
      <c r="U20" s="310">
        <f t="shared" si="9"/>
        <v>0</v>
      </c>
      <c r="V20" s="330">
        <f t="shared" si="9"/>
        <v>0</v>
      </c>
      <c r="W20" s="330">
        <f>SUM(W4:W19)</f>
        <v>0</v>
      </c>
      <c r="X20" s="310">
        <f t="shared" ref="X20" si="10">SUM(X4:X19)</f>
        <v>0</v>
      </c>
      <c r="Y20" s="310">
        <f t="shared" ref="Y20" si="11">SUM(Y4:Y19)</f>
        <v>0</v>
      </c>
      <c r="Z20" s="310">
        <f t="shared" ref="Z20" si="12">SUM(Z4:Z19)</f>
        <v>0</v>
      </c>
      <c r="AA20" s="310">
        <f t="shared" ref="AA20" si="13">SUM(AA4:AA19)</f>
        <v>0</v>
      </c>
      <c r="AB20" s="330">
        <f t="shared" ref="AB20" si="14">SUM(AB4:AB19)</f>
        <v>12969</v>
      </c>
      <c r="AC20" s="330">
        <f t="shared" ref="AC20" si="15">SUM(AC4:AC19)</f>
        <v>6359160.54</v>
      </c>
      <c r="AD20" s="310">
        <f t="shared" ref="AD20" si="16">SUM(AD4:AD19)</f>
        <v>18140</v>
      </c>
      <c r="AE20" s="310">
        <f t="shared" ref="AE20" si="17">SUM(AE4:AE19)</f>
        <v>8724788.7100000009</v>
      </c>
      <c r="AF20" s="94"/>
      <c r="AG20" s="94"/>
      <c r="AH20" s="94"/>
      <c r="AI20" s="94"/>
      <c r="AJ20" s="94"/>
      <c r="AK20" s="94"/>
      <c r="AL20" s="94"/>
    </row>
    <row r="21" spans="1:38" ht="27" customHeight="1" x14ac:dyDescent="0.3">
      <c r="A21" s="456"/>
      <c r="S21" s="96"/>
      <c r="T21" s="475" t="s">
        <v>237</v>
      </c>
      <c r="U21" s="475"/>
      <c r="AB21" s="315">
        <f>AC20/8</f>
        <v>794895.0675</v>
      </c>
      <c r="AC21" s="316"/>
      <c r="AD21" s="312">
        <f>AE20/20</f>
        <v>436239.43550000002</v>
      </c>
      <c r="AE21" s="313"/>
      <c r="AG21" s="62"/>
      <c r="AH21" s="62"/>
      <c r="AI21" s="62"/>
      <c r="AJ21" s="62"/>
      <c r="AK21" s="62"/>
      <c r="AL21" s="62"/>
    </row>
    <row r="22" spans="1:38" ht="21" customHeight="1" x14ac:dyDescent="0.3">
      <c r="A22" s="456"/>
      <c r="AB22" s="472">
        <f>AC20/AB20</f>
        <v>490.33545685866295</v>
      </c>
      <c r="AC22" s="472"/>
      <c r="AD22" s="473">
        <f>AE20/AD20</f>
        <v>480.96960915104745</v>
      </c>
      <c r="AE22" s="473"/>
      <c r="AG22" s="62"/>
      <c r="AH22" s="62"/>
      <c r="AI22" s="62"/>
      <c r="AJ22" s="62"/>
      <c r="AK22" s="62"/>
      <c r="AL22" s="62"/>
    </row>
    <row r="23" spans="1:38" x14ac:dyDescent="0.3">
      <c r="AG23" s="62"/>
      <c r="AH23" s="62"/>
      <c r="AI23" s="62"/>
      <c r="AJ23" s="62"/>
      <c r="AK23" s="62"/>
      <c r="AL23" s="62"/>
    </row>
  </sheetData>
  <mergeCells count="40">
    <mergeCell ref="AN5:AN6"/>
    <mergeCell ref="A20:A22"/>
    <mergeCell ref="AB22:AC22"/>
    <mergeCell ref="AD22:AE22"/>
    <mergeCell ref="AG9:AH9"/>
    <mergeCell ref="AI9:AJ9"/>
    <mergeCell ref="T21:U21"/>
    <mergeCell ref="AG8:AH8"/>
    <mergeCell ref="AI8:AJ8"/>
    <mergeCell ref="AD1:AE1"/>
    <mergeCell ref="AB2:AC2"/>
    <mergeCell ref="AD2:AE2"/>
    <mergeCell ref="V1:W1"/>
    <mergeCell ref="V2:W2"/>
    <mergeCell ref="X1:Y1"/>
    <mergeCell ref="X2:Y2"/>
    <mergeCell ref="AB1:AC1"/>
    <mergeCell ref="Z1:AA1"/>
    <mergeCell ref="Z2:AA2"/>
    <mergeCell ref="R2:S2"/>
    <mergeCell ref="T2:U2"/>
    <mergeCell ref="L1:M1"/>
    <mergeCell ref="N1:O1"/>
    <mergeCell ref="P1:Q1"/>
    <mergeCell ref="R1:S1"/>
    <mergeCell ref="T1:U1"/>
    <mergeCell ref="L2:M2"/>
    <mergeCell ref="N2:O2"/>
    <mergeCell ref="P2:Q2"/>
    <mergeCell ref="J2:K2"/>
    <mergeCell ref="A1:A3"/>
    <mergeCell ref="B1:C1"/>
    <mergeCell ref="D1:E1"/>
    <mergeCell ref="F1:G1"/>
    <mergeCell ref="H1:I1"/>
    <mergeCell ref="B2:C2"/>
    <mergeCell ref="D2:E2"/>
    <mergeCell ref="F2:G2"/>
    <mergeCell ref="H2:I2"/>
    <mergeCell ref="J1:K1"/>
  </mergeCells>
  <pageMargins left="0.7" right="0.7" top="0.75" bottom="0.75" header="0.3" footer="0.3"/>
  <pageSetup paperSize="9" orientation="portrait" horizontalDpi="0" verticalDpi="0"/>
  <ignoredErrors>
    <ignoredError sqref="AB5:AE9 AB15:AE17 AB10:AE14 AD4:AE4" emptyCellReferenc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75C1-A21A-1549-AAD0-BBBC217F4317}">
  <sheetPr codeName="Sheet11">
    <tabColor rgb="FF00A400"/>
  </sheetPr>
  <dimension ref="A1:O20"/>
  <sheetViews>
    <sheetView zoomScale="75" workbookViewId="0">
      <selection activeCell="L26" sqref="L26"/>
    </sheetView>
  </sheetViews>
  <sheetFormatPr baseColWidth="10" defaultRowHeight="24" x14ac:dyDescent="0.3"/>
  <cols>
    <col min="1" max="1" width="7.7109375" style="85" customWidth="1"/>
    <col min="2" max="2" width="37.42578125" style="85" customWidth="1"/>
    <col min="3" max="3" width="13.85546875" style="85" customWidth="1"/>
    <col min="4" max="4" width="12.42578125" style="85" customWidth="1"/>
    <col min="5" max="5" width="8.5703125" style="85" customWidth="1"/>
    <col min="6" max="6" width="6.140625" style="85" hidden="1" customWidth="1"/>
    <col min="7" max="7" width="8.85546875" style="85" customWidth="1"/>
    <col min="8" max="8" width="4.7109375" style="85" hidden="1" customWidth="1"/>
    <col min="9" max="9" width="9.140625" style="85" customWidth="1"/>
    <col min="10" max="10" width="31.7109375" style="85" customWidth="1"/>
    <col min="11" max="11" width="10.7109375" style="85"/>
    <col min="12" max="12" width="34.5703125" style="85" bestFit="1" customWidth="1"/>
    <col min="13" max="13" width="10.85546875" style="85" customWidth="1"/>
    <col min="14" max="16384" width="10.7109375" style="85"/>
  </cols>
  <sheetData>
    <row r="1" spans="1:15" ht="25" customHeight="1" x14ac:dyDescent="0.3">
      <c r="A1" s="438" t="s">
        <v>38</v>
      </c>
      <c r="B1" s="481" t="s">
        <v>24</v>
      </c>
      <c r="C1" s="482" t="s">
        <v>443</v>
      </c>
      <c r="D1" s="483"/>
      <c r="E1" s="484"/>
      <c r="F1" s="110"/>
      <c r="G1" s="481" t="s">
        <v>40</v>
      </c>
      <c r="H1" s="481"/>
      <c r="I1" s="481"/>
      <c r="J1" s="478" t="s">
        <v>17</v>
      </c>
      <c r="M1" s="476"/>
    </row>
    <row r="2" spans="1:15" x14ac:dyDescent="0.3">
      <c r="A2" s="438"/>
      <c r="B2" s="481"/>
      <c r="C2" s="485"/>
      <c r="D2" s="486"/>
      <c r="E2" s="487"/>
      <c r="F2" s="111"/>
      <c r="G2" s="482" t="s">
        <v>213</v>
      </c>
      <c r="H2" s="484"/>
      <c r="I2" s="479" t="s">
        <v>41</v>
      </c>
      <c r="J2" s="478"/>
      <c r="M2" s="477"/>
    </row>
    <row r="3" spans="1:15" ht="23" customHeight="1" x14ac:dyDescent="0.3">
      <c r="A3" s="438"/>
      <c r="B3" s="481"/>
      <c r="C3" s="112" t="s">
        <v>42</v>
      </c>
      <c r="D3" s="112" t="s">
        <v>39</v>
      </c>
      <c r="E3" s="112" t="s">
        <v>256</v>
      </c>
      <c r="F3" s="112"/>
      <c r="G3" s="485"/>
      <c r="H3" s="487"/>
      <c r="I3" s="479"/>
      <c r="J3" s="478"/>
    </row>
    <row r="4" spans="1:15" ht="29" customHeight="1" x14ac:dyDescent="0.3">
      <c r="A4" s="235">
        <v>1</v>
      </c>
      <c r="B4" s="236" t="s">
        <v>132</v>
      </c>
      <c r="C4" s="237">
        <f>Report!C44</f>
        <v>900000</v>
      </c>
      <c r="D4" s="237">
        <f>Report!D44</f>
        <v>982007.5</v>
      </c>
      <c r="E4" s="381">
        <f>D4/C4</f>
        <v>1.0911194444444445</v>
      </c>
      <c r="F4" s="239">
        <v>3</v>
      </c>
      <c r="G4" s="240">
        <v>3</v>
      </c>
      <c r="H4" s="242"/>
      <c r="I4" s="241" t="s">
        <v>416</v>
      </c>
      <c r="J4" s="244" t="s">
        <v>258</v>
      </c>
      <c r="M4" s="113"/>
      <c r="N4" s="113"/>
      <c r="O4" s="114"/>
    </row>
    <row r="5" spans="1:15" ht="29" customHeight="1" x14ac:dyDescent="0.3">
      <c r="A5" s="235">
        <v>2</v>
      </c>
      <c r="B5" s="236" t="s">
        <v>138</v>
      </c>
      <c r="C5" s="237">
        <f>Report!C45</f>
        <v>750000</v>
      </c>
      <c r="D5" s="237">
        <f>Report!D45</f>
        <v>784810.5</v>
      </c>
      <c r="E5" s="381">
        <f t="shared" ref="E5:E17" si="0">D5/C5</f>
        <v>1.046414</v>
      </c>
      <c r="F5" s="239">
        <v>3</v>
      </c>
      <c r="G5" s="240">
        <v>3</v>
      </c>
      <c r="H5" s="242">
        <f t="shared" ref="H5:H20" si="1">G5-F5</f>
        <v>0</v>
      </c>
      <c r="I5" s="240">
        <v>1</v>
      </c>
      <c r="J5" s="244" t="s">
        <v>258</v>
      </c>
      <c r="M5" s="113"/>
      <c r="N5" s="113"/>
      <c r="O5" s="114"/>
    </row>
    <row r="6" spans="1:15" ht="29" customHeight="1" x14ac:dyDescent="0.3">
      <c r="A6" s="235">
        <v>3</v>
      </c>
      <c r="B6" s="236" t="s">
        <v>1</v>
      </c>
      <c r="C6" s="237">
        <f>Report!C46</f>
        <v>950000</v>
      </c>
      <c r="D6" s="237">
        <f>Report!D46</f>
        <v>973986.2</v>
      </c>
      <c r="E6" s="381">
        <f t="shared" si="0"/>
        <v>1.0252486315789473</v>
      </c>
      <c r="F6" s="239">
        <v>4</v>
      </c>
      <c r="G6" s="240">
        <v>3</v>
      </c>
      <c r="H6" s="242">
        <f t="shared" si="1"/>
        <v>-1</v>
      </c>
      <c r="I6" s="240">
        <v>4</v>
      </c>
      <c r="J6" s="244" t="s">
        <v>258</v>
      </c>
      <c r="M6" s="113"/>
      <c r="N6" s="113"/>
      <c r="O6" s="114"/>
    </row>
    <row r="7" spans="1:15" ht="29" customHeight="1" x14ac:dyDescent="0.3">
      <c r="A7" s="235">
        <v>4</v>
      </c>
      <c r="B7" s="236" t="s">
        <v>107</v>
      </c>
      <c r="C7" s="237">
        <f>Report!C47</f>
        <v>1000000</v>
      </c>
      <c r="D7" s="237">
        <f>Report!D47</f>
        <v>1286829.5</v>
      </c>
      <c r="E7" s="381">
        <f t="shared" si="0"/>
        <v>1.2868295000000001</v>
      </c>
      <c r="F7" s="239">
        <v>3</v>
      </c>
      <c r="G7" s="240">
        <v>3</v>
      </c>
      <c r="H7" s="242"/>
      <c r="I7" s="240">
        <v>1</v>
      </c>
      <c r="J7" s="244" t="s">
        <v>258</v>
      </c>
      <c r="M7" s="113"/>
      <c r="N7" s="113"/>
      <c r="O7" s="114"/>
    </row>
    <row r="8" spans="1:15" ht="29" customHeight="1" x14ac:dyDescent="0.3">
      <c r="A8" s="235">
        <v>5</v>
      </c>
      <c r="B8" s="236" t="s">
        <v>158</v>
      </c>
      <c r="C8" s="237">
        <f>Report!C48</f>
        <v>500000</v>
      </c>
      <c r="D8" s="237">
        <f>Report!D48</f>
        <v>610704.5</v>
      </c>
      <c r="E8" s="381">
        <f t="shared" si="0"/>
        <v>1.221409</v>
      </c>
      <c r="F8" s="239">
        <v>2</v>
      </c>
      <c r="G8" s="240">
        <v>2</v>
      </c>
      <c r="H8" s="242">
        <f t="shared" si="1"/>
        <v>0</v>
      </c>
      <c r="I8" s="240">
        <v>1</v>
      </c>
      <c r="J8" s="244" t="s">
        <v>258</v>
      </c>
      <c r="M8" s="113"/>
      <c r="N8" s="113"/>
      <c r="O8" s="114"/>
    </row>
    <row r="9" spans="1:15" ht="29" customHeight="1" x14ac:dyDescent="0.3">
      <c r="A9" s="235">
        <v>6</v>
      </c>
      <c r="B9" s="236" t="s">
        <v>196</v>
      </c>
      <c r="C9" s="237">
        <f>Report!C49</f>
        <v>500000</v>
      </c>
      <c r="D9" s="237">
        <f>Report!D49</f>
        <v>575938</v>
      </c>
      <c r="E9" s="381">
        <f t="shared" si="0"/>
        <v>1.1518759999999999</v>
      </c>
      <c r="F9" s="239">
        <v>2</v>
      </c>
      <c r="G9" s="240">
        <v>2</v>
      </c>
      <c r="H9" s="242">
        <f t="shared" si="1"/>
        <v>0</v>
      </c>
      <c r="I9" s="240">
        <v>1</v>
      </c>
      <c r="J9" s="244" t="s">
        <v>258</v>
      </c>
      <c r="M9" s="113"/>
      <c r="N9" s="113"/>
      <c r="O9" s="114"/>
    </row>
    <row r="10" spans="1:15" ht="29" customHeight="1" x14ac:dyDescent="0.3">
      <c r="A10" s="235">
        <v>7</v>
      </c>
      <c r="B10" s="236" t="s">
        <v>246</v>
      </c>
      <c r="C10" s="237">
        <f>Report!C50</f>
        <v>1000000</v>
      </c>
      <c r="D10" s="237">
        <f>Report!D50</f>
        <v>1221787.5</v>
      </c>
      <c r="E10" s="381">
        <f t="shared" si="0"/>
        <v>1.2217875</v>
      </c>
      <c r="F10" s="239">
        <v>4</v>
      </c>
      <c r="G10" s="240">
        <v>3</v>
      </c>
      <c r="H10" s="242">
        <f t="shared" si="1"/>
        <v>-1</v>
      </c>
      <c r="I10" s="243">
        <v>2</v>
      </c>
      <c r="J10" s="244" t="s">
        <v>258</v>
      </c>
      <c r="M10" s="113"/>
      <c r="N10" s="113"/>
      <c r="O10" s="114"/>
    </row>
    <row r="11" spans="1:15" ht="29" customHeight="1" x14ac:dyDescent="0.3">
      <c r="A11" s="235">
        <v>8</v>
      </c>
      <c r="B11" s="236" t="s">
        <v>78</v>
      </c>
      <c r="C11" s="237">
        <f>Report!C51</f>
        <v>2200000</v>
      </c>
      <c r="D11" s="237">
        <f>Report!D51</f>
        <v>1807232</v>
      </c>
      <c r="E11" s="238">
        <f t="shared" si="0"/>
        <v>0.82146909090909093</v>
      </c>
      <c r="F11" s="239">
        <v>5</v>
      </c>
      <c r="G11" s="240">
        <v>4</v>
      </c>
      <c r="H11" s="242">
        <f t="shared" si="1"/>
        <v>-1</v>
      </c>
      <c r="I11" s="240">
        <v>3</v>
      </c>
      <c r="J11" s="244" t="s">
        <v>258</v>
      </c>
      <c r="M11" s="113"/>
      <c r="N11" s="113"/>
      <c r="O11" s="114"/>
    </row>
    <row r="12" spans="1:15" ht="29" customHeight="1" x14ac:dyDescent="0.3">
      <c r="A12" s="235">
        <v>9</v>
      </c>
      <c r="B12" s="236" t="s">
        <v>45</v>
      </c>
      <c r="C12" s="237">
        <f>Report!C52</f>
        <v>1200000</v>
      </c>
      <c r="D12" s="237">
        <f>Report!D52</f>
        <v>1159000.5</v>
      </c>
      <c r="E12" s="238">
        <f t="shared" si="0"/>
        <v>0.96583375000000005</v>
      </c>
      <c r="F12" s="239">
        <v>2</v>
      </c>
      <c r="G12" s="240">
        <v>2</v>
      </c>
      <c r="H12" s="242">
        <f t="shared" si="1"/>
        <v>0</v>
      </c>
      <c r="I12" s="240">
        <v>1</v>
      </c>
      <c r="J12" s="244" t="s">
        <v>258</v>
      </c>
      <c r="M12" s="113"/>
      <c r="N12" s="113"/>
      <c r="O12" s="114"/>
    </row>
    <row r="13" spans="1:15" ht="29" customHeight="1" x14ac:dyDescent="0.3">
      <c r="A13" s="235">
        <v>10</v>
      </c>
      <c r="B13" s="236" t="s">
        <v>80</v>
      </c>
      <c r="C13" s="237">
        <f>Report!C53</f>
        <v>600000</v>
      </c>
      <c r="D13" s="237">
        <f>Report!D53</f>
        <v>691868</v>
      </c>
      <c r="E13" s="381">
        <f t="shared" si="0"/>
        <v>1.1531133333333334</v>
      </c>
      <c r="F13" s="239">
        <v>2</v>
      </c>
      <c r="G13" s="240">
        <v>2</v>
      </c>
      <c r="H13" s="242">
        <f t="shared" si="1"/>
        <v>0</v>
      </c>
      <c r="I13" s="240">
        <v>1</v>
      </c>
      <c r="J13" s="244" t="s">
        <v>258</v>
      </c>
      <c r="M13" s="113"/>
      <c r="N13" s="113"/>
      <c r="O13" s="114"/>
    </row>
    <row r="14" spans="1:15" ht="29" customHeight="1" x14ac:dyDescent="0.3">
      <c r="A14" s="235">
        <v>11</v>
      </c>
      <c r="B14" s="236" t="s">
        <v>111</v>
      </c>
      <c r="C14" s="237">
        <f>Report!C54</f>
        <v>1800000</v>
      </c>
      <c r="D14" s="237">
        <f>Report!D54</f>
        <v>1737483.5</v>
      </c>
      <c r="E14" s="238">
        <f t="shared" si="0"/>
        <v>0.96526861111111106</v>
      </c>
      <c r="F14" s="239">
        <v>4</v>
      </c>
      <c r="G14" s="240">
        <v>3</v>
      </c>
      <c r="H14" s="242">
        <f t="shared" si="1"/>
        <v>-1</v>
      </c>
      <c r="I14" s="241">
        <v>2</v>
      </c>
      <c r="J14" s="244" t="s">
        <v>258</v>
      </c>
      <c r="M14" s="113"/>
      <c r="N14" s="113"/>
      <c r="O14" s="114"/>
    </row>
    <row r="15" spans="1:15" ht="29" customHeight="1" x14ac:dyDescent="0.3">
      <c r="A15" s="235">
        <v>12</v>
      </c>
      <c r="B15" s="236" t="s">
        <v>292</v>
      </c>
      <c r="C15" s="237">
        <f>Report!C55</f>
        <v>350000</v>
      </c>
      <c r="D15" s="237">
        <f>Report!D55</f>
        <v>396760.54</v>
      </c>
      <c r="E15" s="381">
        <f t="shared" si="0"/>
        <v>1.1336015428571429</v>
      </c>
      <c r="F15" s="239">
        <v>2</v>
      </c>
      <c r="G15" s="240">
        <v>2</v>
      </c>
      <c r="H15" s="242"/>
      <c r="I15" s="240">
        <v>1</v>
      </c>
      <c r="J15" s="244" t="s">
        <v>258</v>
      </c>
      <c r="M15" s="113"/>
      <c r="N15" s="113"/>
      <c r="O15" s="114"/>
    </row>
    <row r="16" spans="1:15" ht="29" customHeight="1" x14ac:dyDescent="0.3">
      <c r="A16" s="235">
        <v>13</v>
      </c>
      <c r="B16" s="236" t="s">
        <v>306</v>
      </c>
      <c r="C16" s="237">
        <f>Report!C56</f>
        <v>800000</v>
      </c>
      <c r="D16" s="237">
        <f>Report!D56</f>
        <v>920696.51</v>
      </c>
      <c r="E16" s="381">
        <f t="shared" si="0"/>
        <v>1.1508706375</v>
      </c>
      <c r="F16" s="239">
        <v>3</v>
      </c>
      <c r="G16" s="240">
        <v>3</v>
      </c>
      <c r="H16" s="242"/>
      <c r="I16" s="241">
        <v>1</v>
      </c>
      <c r="J16" s="244" t="s">
        <v>419</v>
      </c>
      <c r="M16" s="113"/>
      <c r="N16" s="113"/>
      <c r="O16" s="114"/>
    </row>
    <row r="17" spans="1:15" ht="29" customHeight="1" x14ac:dyDescent="0.3">
      <c r="A17" s="235">
        <v>14</v>
      </c>
      <c r="B17" s="236" t="s">
        <v>361</v>
      </c>
      <c r="C17" s="237">
        <f>Report!C57</f>
        <v>550000</v>
      </c>
      <c r="D17" s="237">
        <f>Report!D57</f>
        <v>384029.5</v>
      </c>
      <c r="E17" s="238">
        <f t="shared" si="0"/>
        <v>0.69823545454545455</v>
      </c>
      <c r="F17" s="239">
        <v>2</v>
      </c>
      <c r="G17" s="240">
        <v>2</v>
      </c>
      <c r="H17" s="242">
        <f t="shared" si="1"/>
        <v>0</v>
      </c>
      <c r="I17" s="240">
        <v>1</v>
      </c>
      <c r="J17" s="244" t="s">
        <v>258</v>
      </c>
      <c r="M17" s="113"/>
      <c r="N17" s="113"/>
      <c r="O17" s="114"/>
    </row>
    <row r="18" spans="1:15" ht="29" customHeight="1" x14ac:dyDescent="0.3">
      <c r="A18" s="235">
        <v>15</v>
      </c>
      <c r="B18" s="236" t="s">
        <v>359</v>
      </c>
      <c r="C18" s="237">
        <f>Report!C58</f>
        <v>800000</v>
      </c>
      <c r="D18" s="237">
        <f>Report!D58</f>
        <v>770581</v>
      </c>
      <c r="E18" s="238">
        <f>D18/C18</f>
        <v>0.96322624999999995</v>
      </c>
      <c r="F18" s="239">
        <v>3</v>
      </c>
      <c r="G18" s="240">
        <v>2</v>
      </c>
      <c r="H18" s="242">
        <f t="shared" si="1"/>
        <v>-1</v>
      </c>
      <c r="I18" s="240">
        <v>2</v>
      </c>
      <c r="J18" s="244" t="s">
        <v>258</v>
      </c>
      <c r="M18" s="113"/>
      <c r="N18" s="113"/>
      <c r="O18" s="114"/>
    </row>
    <row r="19" spans="1:15" ht="29" customHeight="1" x14ac:dyDescent="0.3">
      <c r="A19" s="235">
        <v>16</v>
      </c>
      <c r="B19" s="331" t="s">
        <v>371</v>
      </c>
      <c r="C19" s="237">
        <f>Report!C59</f>
        <v>1000000</v>
      </c>
      <c r="D19" s="237">
        <f>Report!D59</f>
        <v>780394</v>
      </c>
      <c r="E19" s="238">
        <f>D19/C19</f>
        <v>0.78039400000000003</v>
      </c>
      <c r="F19" s="239">
        <v>3</v>
      </c>
      <c r="G19" s="240">
        <v>3</v>
      </c>
      <c r="H19" s="242"/>
      <c r="I19" s="240">
        <v>1</v>
      </c>
      <c r="J19" s="244" t="s">
        <v>258</v>
      </c>
      <c r="M19" s="113"/>
      <c r="N19" s="113"/>
      <c r="O19" s="114"/>
    </row>
    <row r="20" spans="1:15" ht="28" customHeight="1" x14ac:dyDescent="0.3">
      <c r="A20" s="439" t="s">
        <v>226</v>
      </c>
      <c r="B20" s="480"/>
      <c r="C20" s="106">
        <f>SUM(C4:C18)</f>
        <v>13900000</v>
      </c>
      <c r="D20" s="106">
        <f>Report!F21</f>
        <v>14097298.364485983</v>
      </c>
      <c r="E20" s="234">
        <f>Report!L21</f>
        <v>0.9461274070124821</v>
      </c>
      <c r="F20" s="115">
        <f>SUM(F4:F19)</f>
        <v>47</v>
      </c>
      <c r="G20" s="116">
        <f>SUM(G4:G19)</f>
        <v>42</v>
      </c>
      <c r="H20" s="332">
        <f t="shared" si="1"/>
        <v>-5</v>
      </c>
      <c r="I20" s="378">
        <f>SUM(I4:I19)</f>
        <v>23</v>
      </c>
      <c r="J20" s="117"/>
    </row>
  </sheetData>
  <mergeCells count="9">
    <mergeCell ref="M1:M2"/>
    <mergeCell ref="J1:J3"/>
    <mergeCell ref="I2:I3"/>
    <mergeCell ref="A20:B20"/>
    <mergeCell ref="A1:A3"/>
    <mergeCell ref="B1:B3"/>
    <mergeCell ref="G1:I1"/>
    <mergeCell ref="C1:E2"/>
    <mergeCell ref="G2:H3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DEA9-169A-7B43-A71B-A20676E9E45C}">
  <sheetPr>
    <tabColor rgb="FFFFFF00"/>
  </sheetPr>
  <dimension ref="A1:B82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15"/>
  <cols>
    <col min="1" max="1" width="48" customWidth="1"/>
  </cols>
  <sheetData>
    <row r="1" spans="1:2" s="19" customFormat="1" x14ac:dyDescent="0.15">
      <c r="A1" s="19" t="s">
        <v>253</v>
      </c>
      <c r="B1" s="23">
        <v>24853</v>
      </c>
    </row>
    <row r="2" spans="1:2" x14ac:dyDescent="0.15">
      <c r="A2" t="s">
        <v>107</v>
      </c>
      <c r="B2" s="22">
        <v>2675000</v>
      </c>
    </row>
    <row r="3" spans="1:2" x14ac:dyDescent="0.15">
      <c r="A3" t="s">
        <v>78</v>
      </c>
      <c r="B3" s="22">
        <v>3745000</v>
      </c>
    </row>
    <row r="4" spans="1:2" x14ac:dyDescent="0.15">
      <c r="A4" t="s">
        <v>347</v>
      </c>
      <c r="B4" s="22">
        <v>3959000</v>
      </c>
    </row>
    <row r="5" spans="1:2" x14ac:dyDescent="0.15">
      <c r="A5" t="s">
        <v>123</v>
      </c>
      <c r="B5" s="22">
        <v>2675000</v>
      </c>
    </row>
    <row r="6" spans="1:2" x14ac:dyDescent="0.15">
      <c r="A6" t="s">
        <v>134</v>
      </c>
      <c r="B6" s="22">
        <v>1391000</v>
      </c>
    </row>
    <row r="7" spans="1:2" x14ac:dyDescent="0.15">
      <c r="A7" t="s">
        <v>82</v>
      </c>
      <c r="B7" s="22">
        <v>2782000</v>
      </c>
    </row>
    <row r="8" spans="1:2" x14ac:dyDescent="0.15">
      <c r="A8" t="s">
        <v>306</v>
      </c>
      <c r="B8" s="22">
        <v>1498000</v>
      </c>
    </row>
    <row r="9" spans="1:2" x14ac:dyDescent="0.15">
      <c r="A9" t="s">
        <v>7</v>
      </c>
      <c r="B9" s="22">
        <v>428000</v>
      </c>
    </row>
    <row r="10" spans="1:2" x14ac:dyDescent="0.15">
      <c r="A10" t="s">
        <v>85</v>
      </c>
      <c r="B10" s="22">
        <v>4066000</v>
      </c>
    </row>
    <row r="11" spans="1:2" x14ac:dyDescent="0.15">
      <c r="A11" t="s">
        <v>94</v>
      </c>
      <c r="B11" s="22">
        <v>3959000</v>
      </c>
    </row>
    <row r="12" spans="1:2" x14ac:dyDescent="0.15">
      <c r="A12" t="s">
        <v>109</v>
      </c>
      <c r="B12" s="22">
        <v>2140000</v>
      </c>
    </row>
    <row r="13" spans="1:2" x14ac:dyDescent="0.15">
      <c r="A13" t="s">
        <v>118</v>
      </c>
      <c r="B13" s="22">
        <v>2140000</v>
      </c>
    </row>
    <row r="14" spans="1:2" x14ac:dyDescent="0.15">
      <c r="A14" t="s">
        <v>382</v>
      </c>
      <c r="B14" s="22">
        <v>1498000</v>
      </c>
    </row>
    <row r="15" spans="1:2" x14ac:dyDescent="0.15">
      <c r="A15" t="s">
        <v>103</v>
      </c>
      <c r="B15" s="22">
        <v>3531000</v>
      </c>
    </row>
    <row r="16" spans="1:2" x14ac:dyDescent="0.15">
      <c r="A16" t="s">
        <v>305</v>
      </c>
      <c r="B16" s="22">
        <v>2140000</v>
      </c>
    </row>
    <row r="17" spans="1:2" x14ac:dyDescent="0.15">
      <c r="A17" t="s">
        <v>98</v>
      </c>
      <c r="B17" s="22">
        <v>2247000</v>
      </c>
    </row>
    <row r="18" spans="1:2" x14ac:dyDescent="0.15">
      <c r="A18" t="s">
        <v>92</v>
      </c>
      <c r="B18" s="22">
        <v>3210000</v>
      </c>
    </row>
    <row r="19" spans="1:2" x14ac:dyDescent="0.15">
      <c r="A19" t="s">
        <v>114</v>
      </c>
      <c r="B19" s="22">
        <v>3210000</v>
      </c>
    </row>
    <row r="20" spans="1:2" x14ac:dyDescent="0.15">
      <c r="A20" t="s">
        <v>3</v>
      </c>
      <c r="B20" s="22">
        <v>2140000</v>
      </c>
    </row>
    <row r="21" spans="1:2" x14ac:dyDescent="0.15">
      <c r="A21" t="s">
        <v>6</v>
      </c>
      <c r="B21" s="22">
        <v>428000</v>
      </c>
    </row>
    <row r="22" spans="1:2" x14ac:dyDescent="0.15">
      <c r="A22" t="s">
        <v>140</v>
      </c>
      <c r="B22" s="22">
        <v>1605000</v>
      </c>
    </row>
    <row r="23" spans="1:2" x14ac:dyDescent="0.15">
      <c r="A23" t="s">
        <v>88</v>
      </c>
      <c r="B23" s="22">
        <v>2140000</v>
      </c>
    </row>
    <row r="24" spans="1:2" x14ac:dyDescent="0.15">
      <c r="A24" t="s">
        <v>2</v>
      </c>
      <c r="B24" s="22">
        <v>3424000</v>
      </c>
    </row>
    <row r="25" spans="1:2" x14ac:dyDescent="0.15">
      <c r="A25" t="s">
        <v>246</v>
      </c>
      <c r="B25" s="22">
        <v>2247000</v>
      </c>
    </row>
    <row r="26" spans="1:2" x14ac:dyDescent="0.15">
      <c r="A26" t="s">
        <v>291</v>
      </c>
      <c r="B26" s="22">
        <v>1284000</v>
      </c>
    </row>
    <row r="27" spans="1:2" x14ac:dyDescent="0.15">
      <c r="A27" t="s">
        <v>45</v>
      </c>
      <c r="B27" s="22">
        <v>2247000</v>
      </c>
    </row>
    <row r="28" spans="1:2" x14ac:dyDescent="0.15">
      <c r="A28" t="s">
        <v>174</v>
      </c>
      <c r="B28" s="22">
        <v>2247000</v>
      </c>
    </row>
    <row r="29" spans="1:2" x14ac:dyDescent="0.15">
      <c r="A29" t="s">
        <v>96</v>
      </c>
      <c r="B29" s="22">
        <v>2354000</v>
      </c>
    </row>
    <row r="30" spans="1:2" x14ac:dyDescent="0.15">
      <c r="A30" t="s">
        <v>172</v>
      </c>
      <c r="B30" s="22">
        <v>2247000</v>
      </c>
    </row>
    <row r="31" spans="1:2" x14ac:dyDescent="0.15">
      <c r="A31" t="s">
        <v>87</v>
      </c>
      <c r="B31" s="22">
        <v>2514500</v>
      </c>
    </row>
    <row r="32" spans="1:2" x14ac:dyDescent="0.15">
      <c r="A32" t="s">
        <v>130</v>
      </c>
      <c r="B32" s="22">
        <v>1926000</v>
      </c>
    </row>
    <row r="33" spans="1:2" x14ac:dyDescent="0.15">
      <c r="A33" t="s">
        <v>111</v>
      </c>
      <c r="B33" s="22">
        <v>2675000</v>
      </c>
    </row>
    <row r="34" spans="1:2" x14ac:dyDescent="0.15">
      <c r="A34" t="s">
        <v>105</v>
      </c>
      <c r="B34" s="22">
        <v>2140000</v>
      </c>
    </row>
    <row r="35" spans="1:2" x14ac:dyDescent="0.15">
      <c r="A35" t="s">
        <v>100</v>
      </c>
      <c r="B35" s="22">
        <v>2247000</v>
      </c>
    </row>
    <row r="36" spans="1:2" x14ac:dyDescent="0.15">
      <c r="A36" t="s">
        <v>348</v>
      </c>
      <c r="B36" s="22">
        <v>749000</v>
      </c>
    </row>
    <row r="37" spans="1:2" x14ac:dyDescent="0.15">
      <c r="A37" t="s">
        <v>125</v>
      </c>
      <c r="B37" s="22">
        <v>1605000</v>
      </c>
    </row>
    <row r="38" spans="1:2" x14ac:dyDescent="0.15">
      <c r="A38" t="s">
        <v>339</v>
      </c>
      <c r="B38" s="22">
        <v>802500</v>
      </c>
    </row>
    <row r="39" spans="1:2" x14ac:dyDescent="0.15">
      <c r="A39" t="s">
        <v>102</v>
      </c>
      <c r="B39" s="22">
        <v>1284000</v>
      </c>
    </row>
    <row r="40" spans="1:2" x14ac:dyDescent="0.15">
      <c r="A40" t="s">
        <v>143</v>
      </c>
      <c r="B40" s="22">
        <v>1712000</v>
      </c>
    </row>
    <row r="41" spans="1:2" x14ac:dyDescent="0.15">
      <c r="A41" t="s">
        <v>383</v>
      </c>
      <c r="B41" s="22">
        <v>1498000</v>
      </c>
    </row>
    <row r="42" spans="1:2" x14ac:dyDescent="0.15">
      <c r="A42" t="s">
        <v>4</v>
      </c>
      <c r="B42" s="22">
        <v>2461000</v>
      </c>
    </row>
    <row r="43" spans="1:2" x14ac:dyDescent="0.15">
      <c r="A43" t="s">
        <v>132</v>
      </c>
      <c r="B43" s="22">
        <v>1605000</v>
      </c>
    </row>
    <row r="44" spans="1:2" x14ac:dyDescent="0.15">
      <c r="A44" t="s">
        <v>252</v>
      </c>
      <c r="B44" s="22">
        <v>1926000</v>
      </c>
    </row>
    <row r="45" spans="1:2" x14ac:dyDescent="0.15">
      <c r="A45" t="s">
        <v>43</v>
      </c>
      <c r="B45" s="22">
        <v>856000</v>
      </c>
    </row>
    <row r="46" spans="1:2" x14ac:dyDescent="0.15">
      <c r="A46" t="s">
        <v>5</v>
      </c>
      <c r="B46" s="22">
        <v>1605000</v>
      </c>
    </row>
    <row r="47" spans="1:2" x14ac:dyDescent="0.15">
      <c r="A47" t="s">
        <v>148</v>
      </c>
      <c r="B47" s="22">
        <v>963000</v>
      </c>
    </row>
    <row r="48" spans="1:2" x14ac:dyDescent="0.15">
      <c r="A48" t="s">
        <v>121</v>
      </c>
      <c r="B48" s="22">
        <v>1498000</v>
      </c>
    </row>
    <row r="49" spans="1:2" x14ac:dyDescent="0.15">
      <c r="A49" t="s">
        <v>208</v>
      </c>
      <c r="B49" s="22">
        <v>2086500</v>
      </c>
    </row>
    <row r="50" spans="1:2" x14ac:dyDescent="0.15">
      <c r="A50" t="s">
        <v>154</v>
      </c>
      <c r="B50" s="22">
        <v>802500</v>
      </c>
    </row>
    <row r="51" spans="1:2" x14ac:dyDescent="0.15">
      <c r="A51" t="s">
        <v>151</v>
      </c>
      <c r="B51" s="22">
        <v>1498000</v>
      </c>
    </row>
    <row r="52" spans="1:2" x14ac:dyDescent="0.15">
      <c r="A52" t="s">
        <v>90</v>
      </c>
      <c r="B52" s="22">
        <v>2247000</v>
      </c>
    </row>
    <row r="53" spans="1:2" x14ac:dyDescent="0.15">
      <c r="A53" t="s">
        <v>136</v>
      </c>
      <c r="B53" s="22">
        <v>1284000</v>
      </c>
    </row>
    <row r="54" spans="1:2" x14ac:dyDescent="0.15">
      <c r="A54" t="s">
        <v>46</v>
      </c>
      <c r="B54" s="22">
        <v>1819000</v>
      </c>
    </row>
    <row r="55" spans="1:2" x14ac:dyDescent="0.15">
      <c r="A55" t="s">
        <v>175</v>
      </c>
      <c r="B55" s="22">
        <v>1712000</v>
      </c>
    </row>
    <row r="56" spans="1:2" x14ac:dyDescent="0.15">
      <c r="A56" t="s">
        <v>44</v>
      </c>
      <c r="B56" s="22">
        <v>856000</v>
      </c>
    </row>
    <row r="57" spans="1:2" x14ac:dyDescent="0.15">
      <c r="A57" t="s">
        <v>206</v>
      </c>
      <c r="B57" s="22">
        <v>1498000</v>
      </c>
    </row>
    <row r="58" spans="1:2" x14ac:dyDescent="0.15">
      <c r="A58" t="s">
        <v>129</v>
      </c>
      <c r="B58" s="22">
        <v>1498000</v>
      </c>
    </row>
    <row r="59" spans="1:2" x14ac:dyDescent="0.15">
      <c r="A59" t="s">
        <v>145</v>
      </c>
      <c r="B59" s="22">
        <v>1284000</v>
      </c>
    </row>
    <row r="60" spans="1:2" x14ac:dyDescent="0.15">
      <c r="A60" t="s">
        <v>138</v>
      </c>
      <c r="B60" s="22">
        <v>1498000</v>
      </c>
    </row>
    <row r="61" spans="1:2" x14ac:dyDescent="0.15">
      <c r="A61" t="s">
        <v>1</v>
      </c>
      <c r="B61" s="22">
        <v>1712000</v>
      </c>
    </row>
    <row r="62" spans="1:2" x14ac:dyDescent="0.15">
      <c r="A62" t="s">
        <v>127</v>
      </c>
      <c r="B62" s="22">
        <v>1177000</v>
      </c>
    </row>
    <row r="63" spans="1:2" x14ac:dyDescent="0.15">
      <c r="A63" t="s">
        <v>183</v>
      </c>
      <c r="B63" s="22">
        <v>963000</v>
      </c>
    </row>
    <row r="64" spans="1:2" x14ac:dyDescent="0.15">
      <c r="A64" t="s">
        <v>47</v>
      </c>
      <c r="B64" s="22">
        <v>1177000</v>
      </c>
    </row>
    <row r="65" spans="1:2" x14ac:dyDescent="0.15">
      <c r="A65" t="s">
        <v>156</v>
      </c>
      <c r="B65" s="22">
        <v>1177000</v>
      </c>
    </row>
    <row r="66" spans="1:2" x14ac:dyDescent="0.15">
      <c r="A66" t="s">
        <v>80</v>
      </c>
      <c r="B66" s="22">
        <v>1070000</v>
      </c>
    </row>
    <row r="67" spans="1:2" x14ac:dyDescent="0.15">
      <c r="A67" t="s">
        <v>116</v>
      </c>
      <c r="B67" s="22">
        <v>1177000</v>
      </c>
    </row>
    <row r="68" spans="1:2" x14ac:dyDescent="0.15">
      <c r="A68" t="s">
        <v>173</v>
      </c>
      <c r="B68" s="22">
        <v>1177000</v>
      </c>
    </row>
    <row r="69" spans="1:2" x14ac:dyDescent="0.15">
      <c r="A69" t="s">
        <v>342</v>
      </c>
      <c r="B69" s="22">
        <v>642000</v>
      </c>
    </row>
    <row r="70" spans="1:2" x14ac:dyDescent="0.15">
      <c r="A70" t="s">
        <v>341</v>
      </c>
      <c r="B70" s="22">
        <v>1070000</v>
      </c>
    </row>
    <row r="71" spans="1:2" x14ac:dyDescent="0.15">
      <c r="A71" t="s">
        <v>259</v>
      </c>
      <c r="B71" s="22">
        <v>749000</v>
      </c>
    </row>
    <row r="72" spans="1:2" x14ac:dyDescent="0.15">
      <c r="A72" t="s">
        <v>196</v>
      </c>
      <c r="B72" s="22">
        <v>856000</v>
      </c>
    </row>
    <row r="73" spans="1:2" x14ac:dyDescent="0.15">
      <c r="A73" t="s">
        <v>283</v>
      </c>
      <c r="B73" s="22">
        <v>749000</v>
      </c>
    </row>
    <row r="74" spans="1:2" x14ac:dyDescent="0.15">
      <c r="A74" t="s">
        <v>292</v>
      </c>
      <c r="B74" s="22">
        <v>535000</v>
      </c>
    </row>
    <row r="75" spans="1:2" x14ac:dyDescent="0.15">
      <c r="A75" t="s">
        <v>361</v>
      </c>
      <c r="B75" s="22">
        <v>535000</v>
      </c>
    </row>
    <row r="76" spans="1:2" x14ac:dyDescent="0.15">
      <c r="A76" t="s">
        <v>243</v>
      </c>
      <c r="B76" s="22">
        <v>909500</v>
      </c>
    </row>
    <row r="77" spans="1:2" x14ac:dyDescent="0.15">
      <c r="A77" t="s">
        <v>158</v>
      </c>
      <c r="B77" s="22">
        <v>802500</v>
      </c>
    </row>
    <row r="78" spans="1:2" x14ac:dyDescent="0.15">
      <c r="A78" t="s">
        <v>161</v>
      </c>
      <c r="B78" s="22">
        <v>642000</v>
      </c>
    </row>
    <row r="79" spans="1:2" x14ac:dyDescent="0.15">
      <c r="A79" t="s">
        <v>371</v>
      </c>
      <c r="B79" s="22">
        <v>1712000</v>
      </c>
    </row>
    <row r="80" spans="1:2" x14ac:dyDescent="0.15">
      <c r="A80" t="s">
        <v>370</v>
      </c>
      <c r="B80" s="22">
        <v>1605000</v>
      </c>
    </row>
    <row r="81" spans="1:2" x14ac:dyDescent="0.15">
      <c r="A81" t="s">
        <v>362</v>
      </c>
      <c r="B81" s="22">
        <v>1070000</v>
      </c>
    </row>
    <row r="82" spans="1:2" x14ac:dyDescent="0.15">
      <c r="A82" t="s">
        <v>384</v>
      </c>
      <c r="B82" s="22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3566-37F8-8244-BD4A-DD2C90784003}">
  <sheetPr codeName="Sheet12">
    <tabColor rgb="FFFF0000"/>
  </sheetPr>
  <dimension ref="A1:AG274"/>
  <sheetViews>
    <sheetView zoomScale="57" zoomScaleNormal="60" workbookViewId="0">
      <selection activeCell="H19" sqref="H19"/>
    </sheetView>
  </sheetViews>
  <sheetFormatPr baseColWidth="10" defaultRowHeight="15" x14ac:dyDescent="0.15"/>
  <cols>
    <col min="1" max="1" width="13.140625" style="1" customWidth="1"/>
    <col min="2" max="2" width="75.5703125" customWidth="1"/>
    <col min="3" max="3" width="89.85546875" customWidth="1"/>
    <col min="4" max="33" width="10.7109375" style="1"/>
  </cols>
  <sheetData>
    <row r="1" spans="2:12" s="1" customFormat="1" x14ac:dyDescent="0.15"/>
    <row r="2" spans="2:12" ht="30" customHeight="1" x14ac:dyDescent="0.15">
      <c r="B2" s="488" t="s">
        <v>50</v>
      </c>
      <c r="C2" s="21" t="s">
        <v>51</v>
      </c>
    </row>
    <row r="3" spans="2:12" ht="30" customHeight="1" x14ac:dyDescent="0.15">
      <c r="B3" s="488"/>
      <c r="C3" s="21" t="s">
        <v>52</v>
      </c>
    </row>
    <row r="4" spans="2:12" ht="39" customHeight="1" x14ac:dyDescent="0.2">
      <c r="B4" s="2" t="s">
        <v>240</v>
      </c>
      <c r="C4" s="3" t="s">
        <v>53</v>
      </c>
    </row>
    <row r="5" spans="2:12" ht="39" customHeight="1" x14ac:dyDescent="0.3">
      <c r="B5" s="2" t="s">
        <v>239</v>
      </c>
      <c r="C5" s="4" t="s">
        <v>54</v>
      </c>
      <c r="H5" s="20"/>
      <c r="I5" s="20"/>
      <c r="J5" s="20"/>
      <c r="K5" s="20"/>
      <c r="L5" s="20"/>
    </row>
    <row r="6" spans="2:12" ht="39" customHeight="1" x14ac:dyDescent="0.3">
      <c r="B6" s="2" t="s">
        <v>241</v>
      </c>
      <c r="C6" s="4" t="s">
        <v>55</v>
      </c>
      <c r="H6" s="20"/>
      <c r="I6" s="489" t="s">
        <v>233</v>
      </c>
      <c r="J6" s="489"/>
      <c r="K6" s="489"/>
      <c r="L6" s="489"/>
    </row>
    <row r="7" spans="2:12" ht="39" customHeight="1" x14ac:dyDescent="0.3">
      <c r="B7" s="2" t="s">
        <v>242</v>
      </c>
      <c r="C7" s="5" t="s">
        <v>56</v>
      </c>
      <c r="H7" s="20"/>
      <c r="I7" s="20" t="s">
        <v>234</v>
      </c>
      <c r="J7" s="20"/>
      <c r="K7" s="20"/>
      <c r="L7" s="20"/>
    </row>
    <row r="8" spans="2:12" ht="39" customHeight="1" x14ac:dyDescent="0.3">
      <c r="B8" s="2"/>
      <c r="C8" s="6" t="s">
        <v>57</v>
      </c>
      <c r="H8" s="20"/>
      <c r="I8" s="20" t="s">
        <v>235</v>
      </c>
      <c r="J8" s="20"/>
      <c r="K8" s="20"/>
      <c r="L8" s="20"/>
    </row>
    <row r="9" spans="2:12" ht="39" customHeight="1" x14ac:dyDescent="0.3">
      <c r="B9" s="2"/>
      <c r="C9" s="7" t="s">
        <v>58</v>
      </c>
      <c r="H9" s="20"/>
      <c r="I9" s="20" t="s">
        <v>236</v>
      </c>
      <c r="J9" s="20"/>
      <c r="K9" s="20"/>
      <c r="L9" s="20"/>
    </row>
    <row r="10" spans="2:12" ht="39" customHeight="1" x14ac:dyDescent="0.3">
      <c r="B10" s="2"/>
      <c r="C10" s="4" t="s">
        <v>59</v>
      </c>
      <c r="H10" s="20"/>
      <c r="I10" s="20"/>
      <c r="J10" s="20"/>
      <c r="K10" s="20"/>
      <c r="L10" s="20"/>
    </row>
    <row r="11" spans="2:12" ht="39" customHeight="1" x14ac:dyDescent="0.3">
      <c r="B11" s="2"/>
      <c r="C11" s="5" t="s">
        <v>60</v>
      </c>
      <c r="H11" s="20"/>
      <c r="I11" s="20"/>
      <c r="J11" s="20"/>
      <c r="K11" s="20"/>
      <c r="L11" s="20"/>
    </row>
    <row r="12" spans="2:12" ht="39" customHeight="1" x14ac:dyDescent="0.2">
      <c r="B12" s="2"/>
      <c r="C12" s="5" t="s">
        <v>61</v>
      </c>
    </row>
    <row r="13" spans="2:12" ht="27" customHeight="1" x14ac:dyDescent="0.15">
      <c r="B13" s="8"/>
      <c r="C13" s="9"/>
    </row>
    <row r="14" spans="2:12" ht="38" customHeight="1" x14ac:dyDescent="0.15">
      <c r="B14" s="21" t="s">
        <v>62</v>
      </c>
      <c r="C14" s="21" t="s">
        <v>63</v>
      </c>
    </row>
    <row r="15" spans="2:12" ht="50" customHeight="1" x14ac:dyDescent="0.15">
      <c r="B15" s="2"/>
      <c r="C15" s="10"/>
    </row>
    <row r="16" spans="2:12" ht="50" customHeight="1" x14ac:dyDescent="0.15">
      <c r="B16" s="2"/>
      <c r="C16" s="11"/>
    </row>
    <row r="17" spans="2:3" ht="50" customHeight="1" x14ac:dyDescent="0.15">
      <c r="B17" s="2"/>
      <c r="C17" s="11"/>
    </row>
    <row r="18" spans="2:3" ht="50" customHeight="1" x14ac:dyDescent="0.15">
      <c r="B18" s="2"/>
      <c r="C18" s="11"/>
    </row>
    <row r="19" spans="2:3" ht="50" customHeight="1" x14ac:dyDescent="0.15">
      <c r="B19" s="2"/>
      <c r="C19" s="12"/>
    </row>
    <row r="20" spans="2:3" s="1" customFormat="1" ht="38" customHeight="1" x14ac:dyDescent="0.15"/>
    <row r="21" spans="2:3" s="1" customFormat="1" ht="38" customHeight="1" x14ac:dyDescent="0.15"/>
    <row r="22" spans="2:3" s="1" customFormat="1" ht="38" customHeight="1" x14ac:dyDescent="0.15"/>
    <row r="23" spans="2:3" s="1" customFormat="1" ht="38" customHeight="1" x14ac:dyDescent="0.15"/>
    <row r="24" spans="2:3" s="1" customFormat="1" x14ac:dyDescent="0.15"/>
    <row r="25" spans="2:3" s="1" customFormat="1" x14ac:dyDescent="0.15"/>
    <row r="26" spans="2:3" s="1" customFormat="1" x14ac:dyDescent="0.15"/>
    <row r="27" spans="2:3" s="1" customFormat="1" x14ac:dyDescent="0.15"/>
    <row r="28" spans="2:3" s="1" customFormat="1" x14ac:dyDescent="0.15"/>
    <row r="29" spans="2:3" s="1" customFormat="1" x14ac:dyDescent="0.15"/>
    <row r="30" spans="2:3" s="1" customFormat="1" x14ac:dyDescent="0.15"/>
    <row r="31" spans="2:3" s="1" customFormat="1" x14ac:dyDescent="0.15"/>
    <row r="32" spans="2:3" s="1" customFormat="1" x14ac:dyDescent="0.15"/>
    <row r="33" s="1" customFormat="1" x14ac:dyDescent="0.15"/>
    <row r="34" s="1" customFormat="1" x14ac:dyDescent="0.15"/>
    <row r="35" s="1" customFormat="1" x14ac:dyDescent="0.15"/>
    <row r="36" s="1" customFormat="1" x14ac:dyDescent="0.15"/>
    <row r="37" s="1" customFormat="1" x14ac:dyDescent="0.15"/>
    <row r="38" s="1" customFormat="1" x14ac:dyDescent="0.15"/>
    <row r="39" s="1" customFormat="1" x14ac:dyDescent="0.15"/>
    <row r="40" s="1" customFormat="1" x14ac:dyDescent="0.15"/>
    <row r="41" s="1" customFormat="1" x14ac:dyDescent="0.15"/>
    <row r="42" s="1" customFormat="1" x14ac:dyDescent="0.15"/>
    <row r="43" s="1" customFormat="1" x14ac:dyDescent="0.15"/>
    <row r="44" s="1" customFormat="1" x14ac:dyDescent="0.15"/>
    <row r="45" s="1" customFormat="1" x14ac:dyDescent="0.15"/>
    <row r="46" s="1" customFormat="1" x14ac:dyDescent="0.15"/>
    <row r="47" s="1" customFormat="1" x14ac:dyDescent="0.15"/>
    <row r="48" s="1" customFormat="1" x14ac:dyDescent="0.15"/>
    <row r="49" s="1" customFormat="1" x14ac:dyDescent="0.15"/>
    <row r="50" s="1" customFormat="1" x14ac:dyDescent="0.15"/>
    <row r="51" s="1" customFormat="1" x14ac:dyDescent="0.15"/>
    <row r="52" s="1" customFormat="1" x14ac:dyDescent="0.15"/>
    <row r="53" s="1" customFormat="1" x14ac:dyDescent="0.15"/>
    <row r="54" s="1" customFormat="1" x14ac:dyDescent="0.15"/>
    <row r="55" s="1" customFormat="1" x14ac:dyDescent="0.15"/>
    <row r="56" s="1" customFormat="1" x14ac:dyDescent="0.15"/>
    <row r="57" s="1" customFormat="1" x14ac:dyDescent="0.15"/>
    <row r="58" s="1" customFormat="1" x14ac:dyDescent="0.15"/>
    <row r="59" s="1" customFormat="1" x14ac:dyDescent="0.15"/>
    <row r="60" s="1" customFormat="1" x14ac:dyDescent="0.15"/>
    <row r="61" s="1" customFormat="1" x14ac:dyDescent="0.15"/>
    <row r="62" s="1" customFormat="1" x14ac:dyDescent="0.15"/>
    <row r="63" s="1" customFormat="1" x14ac:dyDescent="0.15"/>
    <row r="64" s="1" customFormat="1" x14ac:dyDescent="0.15"/>
    <row r="65" s="1" customFormat="1" x14ac:dyDescent="0.15"/>
    <row r="66" s="1" customFormat="1" x14ac:dyDescent="0.15"/>
    <row r="67" s="1" customFormat="1" x14ac:dyDescent="0.15"/>
    <row r="68" s="1" customFormat="1" x14ac:dyDescent="0.15"/>
    <row r="69" s="1" customFormat="1" x14ac:dyDescent="0.15"/>
    <row r="70" s="1" customFormat="1" x14ac:dyDescent="0.15"/>
    <row r="71" s="1" customFormat="1" x14ac:dyDescent="0.15"/>
    <row r="72" s="1" customFormat="1" x14ac:dyDescent="0.15"/>
    <row r="73" s="1" customFormat="1" x14ac:dyDescent="0.15"/>
    <row r="74" s="1" customFormat="1" x14ac:dyDescent="0.15"/>
    <row r="75" s="1" customFormat="1" x14ac:dyDescent="0.15"/>
    <row r="76" s="1" customFormat="1" x14ac:dyDescent="0.15"/>
    <row r="77" s="1" customFormat="1" x14ac:dyDescent="0.15"/>
    <row r="78" s="1" customFormat="1" x14ac:dyDescent="0.15"/>
    <row r="79" s="1" customFormat="1" x14ac:dyDescent="0.15"/>
    <row r="80" s="1" customFormat="1" x14ac:dyDescent="0.15"/>
    <row r="81" s="1" customFormat="1" x14ac:dyDescent="0.15"/>
    <row r="82" s="1" customFormat="1" x14ac:dyDescent="0.15"/>
    <row r="83" s="1" customFormat="1" x14ac:dyDescent="0.15"/>
    <row r="84" s="1" customFormat="1" x14ac:dyDescent="0.15"/>
    <row r="85" s="1" customFormat="1" x14ac:dyDescent="0.15"/>
    <row r="86" s="1" customFormat="1" x14ac:dyDescent="0.15"/>
    <row r="87" s="1" customFormat="1" x14ac:dyDescent="0.15"/>
    <row r="88" s="1" customFormat="1" x14ac:dyDescent="0.15"/>
    <row r="89" s="1" customFormat="1" x14ac:dyDescent="0.15"/>
    <row r="90" s="1" customFormat="1" x14ac:dyDescent="0.15"/>
    <row r="91" s="1" customFormat="1" x14ac:dyDescent="0.15"/>
    <row r="92" s="1" customFormat="1" x14ac:dyDescent="0.15"/>
    <row r="93" s="1" customFormat="1" x14ac:dyDescent="0.15"/>
    <row r="94" s="1" customFormat="1" x14ac:dyDescent="0.15"/>
    <row r="95" s="1" customFormat="1" x14ac:dyDescent="0.15"/>
    <row r="96" s="1" customFormat="1" x14ac:dyDescent="0.15"/>
    <row r="97" s="1" customFormat="1" x14ac:dyDescent="0.15"/>
    <row r="98" s="1" customFormat="1" x14ac:dyDescent="0.15"/>
    <row r="99" s="1" customFormat="1" x14ac:dyDescent="0.15"/>
    <row r="100" s="1" customFormat="1" x14ac:dyDescent="0.15"/>
    <row r="101" s="1" customFormat="1" x14ac:dyDescent="0.15"/>
    <row r="102" s="1" customFormat="1" x14ac:dyDescent="0.15"/>
    <row r="103" s="1" customFormat="1" x14ac:dyDescent="0.15"/>
    <row r="104" s="1" customFormat="1" x14ac:dyDescent="0.15"/>
    <row r="105" s="1" customFormat="1" x14ac:dyDescent="0.15"/>
    <row r="106" s="1" customFormat="1" x14ac:dyDescent="0.15"/>
    <row r="107" s="1" customFormat="1" x14ac:dyDescent="0.15"/>
    <row r="108" s="1" customFormat="1" x14ac:dyDescent="0.15"/>
    <row r="109" s="1" customFormat="1" x14ac:dyDescent="0.15"/>
    <row r="110" s="1" customFormat="1" x14ac:dyDescent="0.15"/>
    <row r="111" s="1" customFormat="1" x14ac:dyDescent="0.15"/>
    <row r="112" s="1" customFormat="1" x14ac:dyDescent="0.15"/>
    <row r="113" s="1" customFormat="1" x14ac:dyDescent="0.15"/>
    <row r="114" s="1" customFormat="1" x14ac:dyDescent="0.15"/>
    <row r="115" s="1" customFormat="1" x14ac:dyDescent="0.15"/>
    <row r="116" s="1" customFormat="1" x14ac:dyDescent="0.15"/>
    <row r="117" s="1" customFormat="1" x14ac:dyDescent="0.15"/>
    <row r="118" s="1" customFormat="1" x14ac:dyDescent="0.15"/>
    <row r="119" s="1" customFormat="1" x14ac:dyDescent="0.15"/>
    <row r="120" s="1" customFormat="1" x14ac:dyDescent="0.15"/>
    <row r="121" s="1" customFormat="1" x14ac:dyDescent="0.15"/>
    <row r="122" s="1" customFormat="1" x14ac:dyDescent="0.15"/>
    <row r="123" s="1" customFormat="1" x14ac:dyDescent="0.15"/>
    <row r="124" s="1" customFormat="1" x14ac:dyDescent="0.15"/>
    <row r="125" s="1" customFormat="1" x14ac:dyDescent="0.15"/>
    <row r="126" s="1" customFormat="1" x14ac:dyDescent="0.15"/>
    <row r="127" s="1" customFormat="1" x14ac:dyDescent="0.15"/>
    <row r="128" s="1" customFormat="1" x14ac:dyDescent="0.15"/>
    <row r="129" s="1" customFormat="1" x14ac:dyDescent="0.15"/>
    <row r="130" s="1" customFormat="1" x14ac:dyDescent="0.15"/>
    <row r="131" s="1" customFormat="1" x14ac:dyDescent="0.15"/>
    <row r="132" s="1" customFormat="1" x14ac:dyDescent="0.15"/>
    <row r="133" s="1" customFormat="1" x14ac:dyDescent="0.15"/>
    <row r="134" s="1" customFormat="1" x14ac:dyDescent="0.15"/>
    <row r="135" s="1" customFormat="1" x14ac:dyDescent="0.15"/>
    <row r="136" s="1" customFormat="1" x14ac:dyDescent="0.15"/>
    <row r="137" s="1" customFormat="1" x14ac:dyDescent="0.15"/>
    <row r="138" s="1" customFormat="1" x14ac:dyDescent="0.15"/>
    <row r="139" s="1" customFormat="1" x14ac:dyDescent="0.15"/>
    <row r="140" s="1" customFormat="1" x14ac:dyDescent="0.15"/>
    <row r="141" s="1" customFormat="1" x14ac:dyDescent="0.15"/>
    <row r="142" s="1" customFormat="1" x14ac:dyDescent="0.15"/>
    <row r="143" s="1" customFormat="1" x14ac:dyDescent="0.15"/>
    <row r="144" s="1" customFormat="1" x14ac:dyDescent="0.15"/>
    <row r="145" s="1" customFormat="1" x14ac:dyDescent="0.15"/>
    <row r="146" s="1" customFormat="1" x14ac:dyDescent="0.15"/>
    <row r="147" s="1" customFormat="1" x14ac:dyDescent="0.15"/>
    <row r="148" s="1" customFormat="1" x14ac:dyDescent="0.15"/>
    <row r="149" s="1" customFormat="1" x14ac:dyDescent="0.15"/>
    <row r="150" s="1" customFormat="1" x14ac:dyDescent="0.15"/>
    <row r="151" s="1" customFormat="1" x14ac:dyDescent="0.15"/>
    <row r="152" s="1" customFormat="1" x14ac:dyDescent="0.15"/>
    <row r="153" s="1" customFormat="1" x14ac:dyDescent="0.15"/>
    <row r="154" s="1" customFormat="1" x14ac:dyDescent="0.15"/>
    <row r="155" s="1" customFormat="1" x14ac:dyDescent="0.15"/>
    <row r="156" s="1" customFormat="1" x14ac:dyDescent="0.15"/>
    <row r="157" s="1" customFormat="1" x14ac:dyDescent="0.15"/>
    <row r="158" s="1" customFormat="1" x14ac:dyDescent="0.15"/>
    <row r="159" s="1" customFormat="1" x14ac:dyDescent="0.15"/>
    <row r="160" s="1" customFormat="1" x14ac:dyDescent="0.15"/>
    <row r="161" s="1" customFormat="1" x14ac:dyDescent="0.15"/>
    <row r="162" s="1" customFormat="1" x14ac:dyDescent="0.15"/>
    <row r="163" s="1" customFormat="1" x14ac:dyDescent="0.15"/>
    <row r="164" s="1" customFormat="1" x14ac:dyDescent="0.15"/>
    <row r="165" s="1" customFormat="1" x14ac:dyDescent="0.15"/>
    <row r="166" s="1" customFormat="1" x14ac:dyDescent="0.15"/>
    <row r="167" s="1" customFormat="1" x14ac:dyDescent="0.15"/>
    <row r="168" s="1" customFormat="1" x14ac:dyDescent="0.15"/>
    <row r="169" s="1" customFormat="1" x14ac:dyDescent="0.15"/>
    <row r="170" s="1" customFormat="1" x14ac:dyDescent="0.15"/>
    <row r="171" s="1" customFormat="1" x14ac:dyDescent="0.15"/>
    <row r="172" s="1" customFormat="1" x14ac:dyDescent="0.15"/>
    <row r="173" s="1" customFormat="1" x14ac:dyDescent="0.15"/>
    <row r="174" s="1" customFormat="1" x14ac:dyDescent="0.15"/>
    <row r="175" s="1" customFormat="1" x14ac:dyDescent="0.15"/>
    <row r="176" s="1" customFormat="1" x14ac:dyDescent="0.15"/>
    <row r="177" s="1" customFormat="1" x14ac:dyDescent="0.15"/>
    <row r="178" s="1" customFormat="1" x14ac:dyDescent="0.15"/>
    <row r="179" s="1" customFormat="1" x14ac:dyDescent="0.15"/>
    <row r="180" s="1" customFormat="1" x14ac:dyDescent="0.15"/>
    <row r="181" s="1" customFormat="1" x14ac:dyDescent="0.15"/>
    <row r="182" s="1" customFormat="1" x14ac:dyDescent="0.15"/>
    <row r="183" s="1" customFormat="1" x14ac:dyDescent="0.15"/>
    <row r="184" s="1" customFormat="1" x14ac:dyDescent="0.15"/>
    <row r="185" s="1" customFormat="1" x14ac:dyDescent="0.15"/>
    <row r="186" s="1" customFormat="1" x14ac:dyDescent="0.15"/>
    <row r="187" s="1" customFormat="1" x14ac:dyDescent="0.15"/>
    <row r="188" s="1" customFormat="1" x14ac:dyDescent="0.15"/>
    <row r="189" s="1" customFormat="1" x14ac:dyDescent="0.15"/>
    <row r="190" s="1" customFormat="1" x14ac:dyDescent="0.15"/>
    <row r="191" s="1" customFormat="1" x14ac:dyDescent="0.15"/>
    <row r="192" s="1" customFormat="1" x14ac:dyDescent="0.15"/>
    <row r="193" s="1" customFormat="1" x14ac:dyDescent="0.15"/>
    <row r="194" s="1" customFormat="1" x14ac:dyDescent="0.15"/>
    <row r="195" s="1" customFormat="1" x14ac:dyDescent="0.15"/>
    <row r="196" s="1" customFormat="1" x14ac:dyDescent="0.15"/>
    <row r="197" s="1" customFormat="1" x14ac:dyDescent="0.15"/>
    <row r="198" s="1" customFormat="1" x14ac:dyDescent="0.15"/>
    <row r="199" s="1" customFormat="1" x14ac:dyDescent="0.15"/>
    <row r="200" s="1" customFormat="1" x14ac:dyDescent="0.15"/>
    <row r="201" s="1" customFormat="1" x14ac:dyDescent="0.15"/>
    <row r="202" s="1" customFormat="1" x14ac:dyDescent="0.15"/>
    <row r="203" s="1" customFormat="1" x14ac:dyDescent="0.15"/>
    <row r="204" s="1" customFormat="1" x14ac:dyDescent="0.15"/>
    <row r="205" s="1" customFormat="1" x14ac:dyDescent="0.15"/>
    <row r="206" s="1" customFormat="1" x14ac:dyDescent="0.15"/>
    <row r="207" s="1" customFormat="1" x14ac:dyDescent="0.15"/>
    <row r="208" s="1" customFormat="1" x14ac:dyDescent="0.15"/>
    <row r="209" s="1" customFormat="1" x14ac:dyDescent="0.15"/>
    <row r="210" s="1" customFormat="1" x14ac:dyDescent="0.15"/>
    <row r="211" s="1" customFormat="1" x14ac:dyDescent="0.15"/>
    <row r="212" s="1" customFormat="1" x14ac:dyDescent="0.15"/>
    <row r="213" s="1" customFormat="1" x14ac:dyDescent="0.15"/>
    <row r="214" s="1" customFormat="1" x14ac:dyDescent="0.15"/>
    <row r="215" s="1" customFormat="1" x14ac:dyDescent="0.15"/>
    <row r="216" s="1" customFormat="1" x14ac:dyDescent="0.15"/>
    <row r="217" s="1" customFormat="1" x14ac:dyDescent="0.15"/>
    <row r="218" s="1" customFormat="1" x14ac:dyDescent="0.15"/>
    <row r="219" s="1" customFormat="1" x14ac:dyDescent="0.15"/>
    <row r="220" s="1" customFormat="1" x14ac:dyDescent="0.15"/>
    <row r="221" s="1" customFormat="1" x14ac:dyDescent="0.15"/>
    <row r="222" s="1" customFormat="1" x14ac:dyDescent="0.15"/>
    <row r="223" s="1" customFormat="1" x14ac:dyDescent="0.15"/>
    <row r="224" s="1" customFormat="1" x14ac:dyDescent="0.15"/>
    <row r="225" s="1" customFormat="1" x14ac:dyDescent="0.15"/>
    <row r="226" s="1" customFormat="1" x14ac:dyDescent="0.15"/>
    <row r="227" s="1" customFormat="1" x14ac:dyDescent="0.15"/>
    <row r="228" s="1" customFormat="1" x14ac:dyDescent="0.15"/>
    <row r="229" s="1" customFormat="1" x14ac:dyDescent="0.15"/>
    <row r="230" s="1" customFormat="1" x14ac:dyDescent="0.15"/>
    <row r="231" s="1" customFormat="1" x14ac:dyDescent="0.15"/>
    <row r="232" s="1" customFormat="1" x14ac:dyDescent="0.15"/>
    <row r="233" s="1" customFormat="1" x14ac:dyDescent="0.15"/>
    <row r="234" s="1" customFormat="1" x14ac:dyDescent="0.15"/>
    <row r="235" s="1" customFormat="1" x14ac:dyDescent="0.15"/>
    <row r="236" s="1" customFormat="1" x14ac:dyDescent="0.15"/>
    <row r="237" s="1" customFormat="1" x14ac:dyDescent="0.15"/>
    <row r="238" s="1" customFormat="1" x14ac:dyDescent="0.15"/>
    <row r="239" s="1" customFormat="1" x14ac:dyDescent="0.15"/>
    <row r="240" s="1" customFormat="1" x14ac:dyDescent="0.15"/>
    <row r="241" s="1" customFormat="1" x14ac:dyDescent="0.15"/>
    <row r="242" s="1" customFormat="1" x14ac:dyDescent="0.15"/>
    <row r="243" s="1" customFormat="1" x14ac:dyDescent="0.15"/>
    <row r="244" s="1" customFormat="1" x14ac:dyDescent="0.15"/>
    <row r="245" s="1" customFormat="1" x14ac:dyDescent="0.15"/>
    <row r="246" s="1" customFormat="1" x14ac:dyDescent="0.15"/>
    <row r="247" s="1" customFormat="1" x14ac:dyDescent="0.15"/>
    <row r="248" s="1" customFormat="1" x14ac:dyDescent="0.15"/>
    <row r="249" s="1" customFormat="1" x14ac:dyDescent="0.15"/>
    <row r="250" s="1" customFormat="1" x14ac:dyDescent="0.15"/>
    <row r="251" s="1" customFormat="1" x14ac:dyDescent="0.15"/>
    <row r="252" s="1" customFormat="1" x14ac:dyDescent="0.15"/>
    <row r="253" s="1" customFormat="1" x14ac:dyDescent="0.15"/>
    <row r="254" s="1" customFormat="1" x14ac:dyDescent="0.15"/>
    <row r="255" s="1" customFormat="1" x14ac:dyDescent="0.15"/>
    <row r="256" s="1" customFormat="1" x14ac:dyDescent="0.15"/>
    <row r="257" s="1" customFormat="1" x14ac:dyDescent="0.15"/>
    <row r="258" s="1" customFormat="1" x14ac:dyDescent="0.15"/>
    <row r="259" s="1" customFormat="1" x14ac:dyDescent="0.15"/>
    <row r="260" s="1" customFormat="1" x14ac:dyDescent="0.15"/>
    <row r="261" s="1" customFormat="1" x14ac:dyDescent="0.15"/>
    <row r="262" s="1" customFormat="1" x14ac:dyDescent="0.15"/>
    <row r="263" s="1" customFormat="1" x14ac:dyDescent="0.15"/>
    <row r="264" s="1" customFormat="1" x14ac:dyDescent="0.15"/>
    <row r="265" s="1" customFormat="1" x14ac:dyDescent="0.15"/>
    <row r="266" s="1" customFormat="1" x14ac:dyDescent="0.15"/>
    <row r="267" s="1" customFormat="1" x14ac:dyDescent="0.15"/>
    <row r="268" s="1" customFormat="1" x14ac:dyDescent="0.15"/>
    <row r="269" s="1" customFormat="1" x14ac:dyDescent="0.15"/>
    <row r="270" s="1" customFormat="1" x14ac:dyDescent="0.15"/>
    <row r="271" s="1" customFormat="1" x14ac:dyDescent="0.15"/>
    <row r="272" s="1" customFormat="1" x14ac:dyDescent="0.15"/>
    <row r="273" s="1" customFormat="1" x14ac:dyDescent="0.15"/>
    <row r="274" s="1" customFormat="1" x14ac:dyDescent="0.15"/>
  </sheetData>
  <mergeCells count="2">
    <mergeCell ref="B2:B3"/>
    <mergeCell ref="I6:L6"/>
  </mergeCells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808E-C5B2-9B43-87A0-51288C7B5FA7}">
  <dimension ref="A1:C991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10.85546875" defaultRowHeight="15" x14ac:dyDescent="0.15"/>
  <cols>
    <col min="1" max="1" width="7.140625" style="246" customWidth="1"/>
    <col min="2" max="2" width="41.140625" style="271" bestFit="1" customWidth="1"/>
    <col min="3" max="3" width="19" style="271" customWidth="1"/>
    <col min="4" max="16384" width="10.85546875" style="271"/>
  </cols>
  <sheetData>
    <row r="1" spans="1:3" s="246" customFormat="1" ht="20" customHeight="1" x14ac:dyDescent="0.15">
      <c r="A1" s="295" t="s">
        <v>38</v>
      </c>
      <c r="B1" s="295" t="s">
        <v>214</v>
      </c>
      <c r="C1" s="295" t="s">
        <v>444</v>
      </c>
    </row>
    <row r="2" spans="1:3" ht="19.5" customHeight="1" x14ac:dyDescent="0.2">
      <c r="A2" s="327">
        <v>1</v>
      </c>
      <c r="B2" s="336" t="s">
        <v>94</v>
      </c>
      <c r="C2" s="362">
        <v>2200000</v>
      </c>
    </row>
    <row r="3" spans="1:3" ht="19.5" customHeight="1" x14ac:dyDescent="0.2">
      <c r="A3" s="327">
        <v>2</v>
      </c>
      <c r="B3" s="336" t="s">
        <v>85</v>
      </c>
      <c r="C3" s="362">
        <v>2000000</v>
      </c>
    </row>
    <row r="4" spans="1:3" ht="19.5" customHeight="1" x14ac:dyDescent="0.2">
      <c r="A4" s="327">
        <v>3</v>
      </c>
      <c r="B4" s="336" t="s">
        <v>103</v>
      </c>
      <c r="C4" s="362">
        <v>1900000</v>
      </c>
    </row>
    <row r="5" spans="1:3" ht="19.5" customHeight="1" x14ac:dyDescent="0.2">
      <c r="A5" s="327">
        <v>4</v>
      </c>
      <c r="B5" s="336" t="s">
        <v>2</v>
      </c>
      <c r="C5" s="362">
        <v>1800000</v>
      </c>
    </row>
    <row r="6" spans="1:3" ht="19.5" customHeight="1" x14ac:dyDescent="0.2">
      <c r="A6" s="327">
        <v>5</v>
      </c>
      <c r="B6" s="336" t="s">
        <v>111</v>
      </c>
      <c r="C6" s="362">
        <v>1800000</v>
      </c>
    </row>
    <row r="7" spans="1:3" ht="19.5" customHeight="1" x14ac:dyDescent="0.2">
      <c r="A7" s="327">
        <v>6</v>
      </c>
      <c r="B7" s="336" t="s">
        <v>82</v>
      </c>
      <c r="C7" s="362">
        <v>1800000</v>
      </c>
    </row>
    <row r="8" spans="1:3" ht="19.5" customHeight="1" x14ac:dyDescent="0.2">
      <c r="A8" s="327">
        <v>7</v>
      </c>
      <c r="B8" s="336" t="s">
        <v>78</v>
      </c>
      <c r="C8" s="362">
        <v>2200000</v>
      </c>
    </row>
    <row r="9" spans="1:3" ht="19.5" customHeight="1" x14ac:dyDescent="0.2">
      <c r="A9" s="327">
        <v>8</v>
      </c>
      <c r="B9" s="336" t="s">
        <v>92</v>
      </c>
      <c r="C9" s="362">
        <v>1400000</v>
      </c>
    </row>
    <row r="10" spans="1:3" ht="19.5" customHeight="1" x14ac:dyDescent="0.2">
      <c r="A10" s="327">
        <v>9</v>
      </c>
      <c r="B10" s="336" t="s">
        <v>347</v>
      </c>
      <c r="C10" s="362">
        <v>1900000</v>
      </c>
    </row>
    <row r="11" spans="1:3" ht="19.5" customHeight="1" x14ac:dyDescent="0.2">
      <c r="A11" s="327">
        <v>10</v>
      </c>
      <c r="B11" s="336" t="s">
        <v>4</v>
      </c>
      <c r="C11" s="362">
        <v>1400000</v>
      </c>
    </row>
    <row r="12" spans="1:3" ht="19.5" customHeight="1" x14ac:dyDescent="0.2">
      <c r="A12" s="327">
        <v>11</v>
      </c>
      <c r="B12" s="336" t="s">
        <v>172</v>
      </c>
      <c r="C12" s="362">
        <v>1300000</v>
      </c>
    </row>
    <row r="13" spans="1:3" ht="19.5" customHeight="1" x14ac:dyDescent="0.2">
      <c r="A13" s="327">
        <v>12</v>
      </c>
      <c r="B13" s="336" t="s">
        <v>96</v>
      </c>
      <c r="C13" s="362">
        <v>1500000</v>
      </c>
    </row>
    <row r="14" spans="1:3" ht="19.5" customHeight="1" x14ac:dyDescent="0.2">
      <c r="A14" s="327">
        <v>13</v>
      </c>
      <c r="B14" s="336" t="s">
        <v>87</v>
      </c>
      <c r="C14" s="362">
        <v>1500000</v>
      </c>
    </row>
    <row r="15" spans="1:3" ht="19.5" customHeight="1" x14ac:dyDescent="0.2">
      <c r="A15" s="327">
        <v>14</v>
      </c>
      <c r="B15" s="336" t="s">
        <v>90</v>
      </c>
      <c r="C15" s="362">
        <v>1300000</v>
      </c>
    </row>
    <row r="16" spans="1:3" ht="19.5" customHeight="1" x14ac:dyDescent="0.2">
      <c r="A16" s="327">
        <v>15</v>
      </c>
      <c r="B16" s="336" t="s">
        <v>123</v>
      </c>
      <c r="C16" s="362">
        <v>1400000</v>
      </c>
    </row>
    <row r="17" spans="1:3" ht="19.5" customHeight="1" x14ac:dyDescent="0.2">
      <c r="A17" s="327">
        <v>16</v>
      </c>
      <c r="B17" s="336" t="s">
        <v>208</v>
      </c>
      <c r="C17" s="362">
        <v>1000000</v>
      </c>
    </row>
    <row r="18" spans="1:3" ht="19.5" customHeight="1" x14ac:dyDescent="0.2">
      <c r="A18" s="327">
        <v>17</v>
      </c>
      <c r="B18" s="336" t="s">
        <v>118</v>
      </c>
      <c r="C18" s="362">
        <v>1200000</v>
      </c>
    </row>
    <row r="19" spans="1:3" ht="19.5" customHeight="1" x14ac:dyDescent="0.2">
      <c r="A19" s="327">
        <v>18</v>
      </c>
      <c r="B19" s="336" t="s">
        <v>100</v>
      </c>
      <c r="C19" s="362">
        <v>1200000</v>
      </c>
    </row>
    <row r="20" spans="1:3" ht="19.5" customHeight="1" x14ac:dyDescent="0.2">
      <c r="A20" s="327">
        <v>19</v>
      </c>
      <c r="B20" s="336" t="s">
        <v>107</v>
      </c>
      <c r="C20" s="362">
        <v>1000000</v>
      </c>
    </row>
    <row r="21" spans="1:3" ht="19.5" customHeight="1" x14ac:dyDescent="0.2">
      <c r="A21" s="327">
        <v>20</v>
      </c>
      <c r="B21" s="336" t="s">
        <v>130</v>
      </c>
      <c r="C21" s="362">
        <v>1000000</v>
      </c>
    </row>
    <row r="22" spans="1:3" ht="19.5" customHeight="1" x14ac:dyDescent="0.2">
      <c r="A22" s="327">
        <v>21</v>
      </c>
      <c r="B22" s="336" t="s">
        <v>246</v>
      </c>
      <c r="C22" s="362">
        <v>1000000</v>
      </c>
    </row>
    <row r="23" spans="1:3" ht="19.5" customHeight="1" x14ac:dyDescent="0.2">
      <c r="A23" s="327">
        <v>22</v>
      </c>
      <c r="B23" s="336" t="s">
        <v>98</v>
      </c>
      <c r="C23" s="362">
        <v>1200000</v>
      </c>
    </row>
    <row r="24" spans="1:3" ht="19.5" customHeight="1" x14ac:dyDescent="0.2">
      <c r="A24" s="327">
        <v>23</v>
      </c>
      <c r="B24" s="336" t="s">
        <v>109</v>
      </c>
      <c r="C24" s="362">
        <v>1200000</v>
      </c>
    </row>
    <row r="25" spans="1:3" ht="19.5" customHeight="1" x14ac:dyDescent="0.2">
      <c r="A25" s="327">
        <v>24</v>
      </c>
      <c r="B25" s="336" t="s">
        <v>175</v>
      </c>
      <c r="C25" s="362">
        <v>1000000</v>
      </c>
    </row>
    <row r="26" spans="1:3" ht="19.5" customHeight="1" x14ac:dyDescent="0.2">
      <c r="A26" s="327">
        <v>25</v>
      </c>
      <c r="B26" s="336" t="s">
        <v>174</v>
      </c>
      <c r="C26" s="362">
        <v>1200000</v>
      </c>
    </row>
    <row r="27" spans="1:3" ht="19.5" customHeight="1" x14ac:dyDescent="0.2">
      <c r="A27" s="327">
        <v>26</v>
      </c>
      <c r="B27" s="336" t="s">
        <v>401</v>
      </c>
      <c r="C27" s="362">
        <v>1200000</v>
      </c>
    </row>
    <row r="28" spans="1:3" ht="19.5" customHeight="1" x14ac:dyDescent="0.2">
      <c r="A28" s="327">
        <v>27</v>
      </c>
      <c r="B28" s="336" t="s">
        <v>206</v>
      </c>
      <c r="C28" s="362">
        <v>900000</v>
      </c>
    </row>
    <row r="29" spans="1:3" ht="19.5" customHeight="1" x14ac:dyDescent="0.2">
      <c r="A29" s="327">
        <v>28</v>
      </c>
      <c r="B29" s="336" t="s">
        <v>45</v>
      </c>
      <c r="C29" s="362">
        <v>1200000</v>
      </c>
    </row>
    <row r="30" spans="1:3" ht="19.5" customHeight="1" x14ac:dyDescent="0.2">
      <c r="A30" s="327">
        <v>29</v>
      </c>
      <c r="B30" s="336" t="s">
        <v>88</v>
      </c>
      <c r="C30" s="362">
        <v>1100000</v>
      </c>
    </row>
    <row r="31" spans="1:3" ht="19.5" customHeight="1" x14ac:dyDescent="0.2">
      <c r="A31" s="327">
        <v>30</v>
      </c>
      <c r="B31" s="336" t="s">
        <v>143</v>
      </c>
      <c r="C31" s="362">
        <v>800000</v>
      </c>
    </row>
    <row r="32" spans="1:3" ht="19.5" customHeight="1" x14ac:dyDescent="0.2">
      <c r="A32" s="327">
        <v>31</v>
      </c>
      <c r="B32" s="336" t="s">
        <v>151</v>
      </c>
      <c r="C32" s="362">
        <v>750000</v>
      </c>
    </row>
    <row r="33" spans="1:3" ht="19.5" customHeight="1" x14ac:dyDescent="0.2">
      <c r="A33" s="327">
        <v>32</v>
      </c>
      <c r="B33" s="336" t="s">
        <v>252</v>
      </c>
      <c r="C33" s="362">
        <v>1150000</v>
      </c>
    </row>
    <row r="34" spans="1:3" ht="19.5" customHeight="1" x14ac:dyDescent="0.2">
      <c r="A34" s="327">
        <v>33</v>
      </c>
      <c r="B34" s="336" t="s">
        <v>305</v>
      </c>
      <c r="C34" s="362">
        <v>1400000</v>
      </c>
    </row>
    <row r="35" spans="1:3" ht="19.5" customHeight="1" x14ac:dyDescent="0.2">
      <c r="A35" s="327">
        <v>34</v>
      </c>
      <c r="B35" s="336" t="s">
        <v>306</v>
      </c>
      <c r="C35" s="362">
        <v>800000</v>
      </c>
    </row>
    <row r="36" spans="1:3" ht="19.5" customHeight="1" x14ac:dyDescent="0.2">
      <c r="A36" s="327">
        <v>35</v>
      </c>
      <c r="B36" s="336" t="s">
        <v>125</v>
      </c>
      <c r="C36" s="362">
        <v>900000</v>
      </c>
    </row>
    <row r="37" spans="1:3" ht="19.5" customHeight="1" x14ac:dyDescent="0.2">
      <c r="A37" s="327">
        <v>36</v>
      </c>
      <c r="B37" s="336" t="s">
        <v>3</v>
      </c>
      <c r="C37" s="362">
        <v>1000000</v>
      </c>
    </row>
    <row r="38" spans="1:3" ht="19.5" customHeight="1" x14ac:dyDescent="0.2">
      <c r="A38" s="327">
        <v>37</v>
      </c>
      <c r="B38" s="336" t="s">
        <v>46</v>
      </c>
      <c r="C38" s="362">
        <v>1000000</v>
      </c>
    </row>
    <row r="39" spans="1:3" ht="19.5" customHeight="1" x14ac:dyDescent="0.2">
      <c r="A39" s="327">
        <v>38</v>
      </c>
      <c r="B39" s="336" t="s">
        <v>5</v>
      </c>
      <c r="C39" s="362">
        <v>950000</v>
      </c>
    </row>
    <row r="40" spans="1:3" ht="19.5" customHeight="1" x14ac:dyDescent="0.2">
      <c r="A40" s="327">
        <v>39</v>
      </c>
      <c r="B40" s="336" t="s">
        <v>114</v>
      </c>
      <c r="C40" s="362">
        <v>2200000</v>
      </c>
    </row>
    <row r="41" spans="1:3" ht="19.5" customHeight="1" x14ac:dyDescent="0.2">
      <c r="A41" s="327">
        <v>40</v>
      </c>
      <c r="B41" s="336" t="s">
        <v>132</v>
      </c>
      <c r="C41" s="362">
        <v>900000</v>
      </c>
    </row>
    <row r="42" spans="1:3" ht="19.5" customHeight="1" x14ac:dyDescent="0.2">
      <c r="A42" s="327">
        <v>41</v>
      </c>
      <c r="B42" s="336" t="s">
        <v>129</v>
      </c>
      <c r="C42" s="362">
        <v>850000</v>
      </c>
    </row>
    <row r="43" spans="1:3" ht="19.5" customHeight="1" x14ac:dyDescent="0.2">
      <c r="A43" s="327">
        <v>42</v>
      </c>
      <c r="B43" s="336" t="s">
        <v>140</v>
      </c>
      <c r="C43" s="362">
        <v>950000</v>
      </c>
    </row>
    <row r="44" spans="1:3" ht="19.5" customHeight="1" x14ac:dyDescent="0.2">
      <c r="A44" s="327">
        <v>43</v>
      </c>
      <c r="B44" s="336" t="s">
        <v>1</v>
      </c>
      <c r="C44" s="362">
        <v>950000</v>
      </c>
    </row>
    <row r="45" spans="1:3" ht="19.5" customHeight="1" x14ac:dyDescent="0.2">
      <c r="A45" s="327">
        <v>44</v>
      </c>
      <c r="B45" s="336" t="s">
        <v>121</v>
      </c>
      <c r="C45" s="362">
        <v>900000</v>
      </c>
    </row>
    <row r="46" spans="1:3" ht="19.5" customHeight="1" x14ac:dyDescent="0.2">
      <c r="A46" s="327">
        <v>45</v>
      </c>
      <c r="B46" s="336" t="s">
        <v>359</v>
      </c>
      <c r="C46" s="362">
        <v>800000</v>
      </c>
    </row>
    <row r="47" spans="1:3" ht="19.5" customHeight="1" x14ac:dyDescent="0.2">
      <c r="A47" s="327">
        <v>46</v>
      </c>
      <c r="B47" s="336" t="s">
        <v>138</v>
      </c>
      <c r="C47" s="362">
        <v>750000</v>
      </c>
    </row>
    <row r="48" spans="1:3" ht="19.5" customHeight="1" x14ac:dyDescent="0.2">
      <c r="A48" s="327">
        <v>47</v>
      </c>
      <c r="B48" s="336" t="s">
        <v>145</v>
      </c>
      <c r="C48" s="362">
        <v>700000</v>
      </c>
    </row>
    <row r="49" spans="1:3" ht="19.5" customHeight="1" x14ac:dyDescent="0.2">
      <c r="A49" s="327">
        <v>48</v>
      </c>
      <c r="B49" s="336" t="s">
        <v>346</v>
      </c>
      <c r="C49" s="362">
        <v>1000000</v>
      </c>
    </row>
    <row r="50" spans="1:3" ht="19.5" customHeight="1" x14ac:dyDescent="0.2">
      <c r="A50" s="327">
        <v>49</v>
      </c>
      <c r="B50" s="336" t="s">
        <v>341</v>
      </c>
      <c r="C50" s="362">
        <v>1000000</v>
      </c>
    </row>
    <row r="51" spans="1:3" ht="19.5" customHeight="1" x14ac:dyDescent="0.2">
      <c r="A51" s="327">
        <v>50</v>
      </c>
      <c r="B51" s="336" t="s">
        <v>173</v>
      </c>
      <c r="C51" s="362">
        <v>600000</v>
      </c>
    </row>
    <row r="52" spans="1:3" ht="19.5" customHeight="1" x14ac:dyDescent="0.2">
      <c r="A52" s="327">
        <v>51</v>
      </c>
      <c r="B52" s="336" t="s">
        <v>80</v>
      </c>
      <c r="C52" s="362">
        <v>600000</v>
      </c>
    </row>
    <row r="53" spans="1:3" ht="19.5" customHeight="1" x14ac:dyDescent="0.2">
      <c r="A53" s="327">
        <v>52</v>
      </c>
      <c r="B53" s="336" t="s">
        <v>156</v>
      </c>
      <c r="C53" s="362">
        <v>600000</v>
      </c>
    </row>
    <row r="54" spans="1:3" ht="19.5" customHeight="1" x14ac:dyDescent="0.2">
      <c r="A54" s="327">
        <v>53</v>
      </c>
      <c r="B54" s="337" t="s">
        <v>290</v>
      </c>
      <c r="C54" s="362">
        <v>500000</v>
      </c>
    </row>
    <row r="55" spans="1:3" ht="19.5" customHeight="1" x14ac:dyDescent="0.2">
      <c r="A55" s="327">
        <v>54</v>
      </c>
      <c r="B55" s="336" t="s">
        <v>134</v>
      </c>
      <c r="C55" s="362">
        <v>850000</v>
      </c>
    </row>
    <row r="56" spans="1:3" ht="19.5" customHeight="1" x14ac:dyDescent="0.2">
      <c r="A56" s="327">
        <v>55</v>
      </c>
      <c r="B56" s="336" t="s">
        <v>116</v>
      </c>
      <c r="C56" s="362">
        <v>700000</v>
      </c>
    </row>
    <row r="57" spans="1:3" ht="19.5" customHeight="1" x14ac:dyDescent="0.2">
      <c r="A57" s="327">
        <v>56</v>
      </c>
      <c r="B57" s="336" t="s">
        <v>47</v>
      </c>
      <c r="C57" s="362">
        <v>550000</v>
      </c>
    </row>
    <row r="58" spans="1:3" ht="19.5" customHeight="1" x14ac:dyDescent="0.2">
      <c r="A58" s="327">
        <v>57</v>
      </c>
      <c r="B58" s="336" t="s">
        <v>127</v>
      </c>
      <c r="C58" s="362">
        <v>700000</v>
      </c>
    </row>
    <row r="59" spans="1:3" ht="19.5" customHeight="1" x14ac:dyDescent="0.2">
      <c r="A59" s="327">
        <v>58</v>
      </c>
      <c r="B59" s="336" t="s">
        <v>136</v>
      </c>
      <c r="C59" s="362">
        <v>650000</v>
      </c>
    </row>
    <row r="60" spans="1:3" ht="19.5" customHeight="1" x14ac:dyDescent="0.2">
      <c r="A60" s="327">
        <v>59</v>
      </c>
      <c r="B60" s="336" t="s">
        <v>102</v>
      </c>
      <c r="C60" s="362">
        <v>900000</v>
      </c>
    </row>
    <row r="61" spans="1:3" ht="19.5" customHeight="1" x14ac:dyDescent="0.2">
      <c r="A61" s="327">
        <v>60</v>
      </c>
      <c r="B61" s="336" t="s">
        <v>291</v>
      </c>
      <c r="C61" s="362">
        <v>470000</v>
      </c>
    </row>
    <row r="62" spans="1:3" ht="19.5" customHeight="1" x14ac:dyDescent="0.2">
      <c r="A62" s="327">
        <v>61</v>
      </c>
      <c r="B62" s="336" t="s">
        <v>158</v>
      </c>
      <c r="C62" s="362">
        <v>500000</v>
      </c>
    </row>
    <row r="63" spans="1:3" ht="19.5" customHeight="1" x14ac:dyDescent="0.2">
      <c r="A63" s="327">
        <v>62</v>
      </c>
      <c r="B63" s="336" t="s">
        <v>183</v>
      </c>
      <c r="C63" s="362">
        <v>450000</v>
      </c>
    </row>
    <row r="64" spans="1:3" ht="19.5" customHeight="1" x14ac:dyDescent="0.2">
      <c r="A64" s="327">
        <v>63</v>
      </c>
      <c r="B64" s="336" t="s">
        <v>196</v>
      </c>
      <c r="C64" s="362">
        <v>500000</v>
      </c>
    </row>
    <row r="65" spans="1:3" ht="19.5" customHeight="1" x14ac:dyDescent="0.2">
      <c r="A65" s="327">
        <v>64</v>
      </c>
      <c r="B65" s="336" t="s">
        <v>154</v>
      </c>
      <c r="C65" s="362">
        <v>400000</v>
      </c>
    </row>
    <row r="66" spans="1:3" ht="19.5" customHeight="1" x14ac:dyDescent="0.2">
      <c r="A66" s="327">
        <v>65</v>
      </c>
      <c r="B66" s="336" t="s">
        <v>161</v>
      </c>
      <c r="C66" s="362">
        <v>650000</v>
      </c>
    </row>
    <row r="67" spans="1:3" ht="19" customHeight="1" x14ac:dyDescent="0.2">
      <c r="A67" s="327">
        <v>66</v>
      </c>
      <c r="B67" s="336" t="s">
        <v>148</v>
      </c>
      <c r="C67" s="362">
        <v>600000</v>
      </c>
    </row>
    <row r="68" spans="1:3" ht="15.75" customHeight="1" x14ac:dyDescent="0.2">
      <c r="A68" s="327">
        <v>67</v>
      </c>
      <c r="B68" s="336" t="s">
        <v>243</v>
      </c>
      <c r="C68" s="362">
        <v>550000</v>
      </c>
    </row>
    <row r="69" spans="1:3" ht="15.75" customHeight="1" x14ac:dyDescent="0.2">
      <c r="A69" s="327">
        <v>68</v>
      </c>
      <c r="B69" s="336" t="s">
        <v>362</v>
      </c>
      <c r="C69" s="362">
        <v>800000</v>
      </c>
    </row>
    <row r="70" spans="1:3" ht="15.75" customHeight="1" x14ac:dyDescent="0.2">
      <c r="A70" s="327">
        <v>69</v>
      </c>
      <c r="B70" s="336" t="s">
        <v>361</v>
      </c>
      <c r="C70" s="362">
        <v>550000</v>
      </c>
    </row>
    <row r="71" spans="1:3" ht="15.75" customHeight="1" x14ac:dyDescent="0.2">
      <c r="A71" s="327">
        <v>70</v>
      </c>
      <c r="B71" s="336" t="s">
        <v>283</v>
      </c>
      <c r="C71" s="362">
        <v>450000</v>
      </c>
    </row>
    <row r="72" spans="1:3" ht="15.75" customHeight="1" x14ac:dyDescent="0.2">
      <c r="A72" s="327">
        <v>71</v>
      </c>
      <c r="B72" s="338" t="s">
        <v>342</v>
      </c>
      <c r="C72" s="362">
        <v>600000</v>
      </c>
    </row>
    <row r="73" spans="1:3" ht="15.75" customHeight="1" x14ac:dyDescent="0.2">
      <c r="A73" s="327">
        <v>72</v>
      </c>
      <c r="B73" s="336" t="s">
        <v>339</v>
      </c>
      <c r="C73" s="362">
        <v>400000</v>
      </c>
    </row>
    <row r="74" spans="1:3" ht="15.75" customHeight="1" x14ac:dyDescent="0.2">
      <c r="A74" s="327">
        <v>73</v>
      </c>
      <c r="B74" s="336" t="s">
        <v>371</v>
      </c>
      <c r="C74" s="362">
        <v>1000000</v>
      </c>
    </row>
    <row r="75" spans="1:3" ht="15.75" customHeight="1" x14ac:dyDescent="0.2">
      <c r="A75" s="327">
        <v>74</v>
      </c>
      <c r="B75" s="336" t="s">
        <v>348</v>
      </c>
      <c r="C75" s="362">
        <v>600000</v>
      </c>
    </row>
    <row r="76" spans="1:3" ht="15.75" customHeight="1" x14ac:dyDescent="0.2">
      <c r="A76" s="327">
        <v>75</v>
      </c>
      <c r="B76" s="336" t="s">
        <v>370</v>
      </c>
      <c r="C76" s="362">
        <v>1000000</v>
      </c>
    </row>
    <row r="77" spans="1:3" ht="15.75" customHeight="1" x14ac:dyDescent="0.2">
      <c r="A77" s="327">
        <v>76</v>
      </c>
      <c r="B77" s="336" t="s">
        <v>43</v>
      </c>
      <c r="C77" s="362">
        <v>350000</v>
      </c>
    </row>
    <row r="78" spans="1:3" ht="15.75" customHeight="1" x14ac:dyDescent="0.2">
      <c r="A78" s="327">
        <v>77</v>
      </c>
      <c r="B78" s="336" t="s">
        <v>44</v>
      </c>
      <c r="C78" s="362">
        <v>400000</v>
      </c>
    </row>
    <row r="79" spans="1:3" ht="15.75" customHeight="1" x14ac:dyDescent="0.2">
      <c r="A79" s="327">
        <v>78</v>
      </c>
      <c r="B79" s="336" t="s">
        <v>292</v>
      </c>
      <c r="C79" s="362">
        <v>350000</v>
      </c>
    </row>
    <row r="80" spans="1:3" ht="15.75" customHeight="1" x14ac:dyDescent="0.2">
      <c r="A80" s="327">
        <v>79</v>
      </c>
      <c r="B80" s="336" t="s">
        <v>6</v>
      </c>
      <c r="C80" s="362">
        <v>250000</v>
      </c>
    </row>
    <row r="81" spans="1:3" ht="15.75" customHeight="1" x14ac:dyDescent="0.2">
      <c r="A81" s="327">
        <v>80</v>
      </c>
      <c r="B81" s="336" t="s">
        <v>7</v>
      </c>
      <c r="C81" s="362">
        <v>250000</v>
      </c>
    </row>
    <row r="82" spans="1:3" ht="15.75" customHeight="1" x14ac:dyDescent="0.2">
      <c r="A82" s="327">
        <v>81</v>
      </c>
      <c r="B82" s="336" t="s">
        <v>422</v>
      </c>
      <c r="C82" s="362">
        <v>700000</v>
      </c>
    </row>
    <row r="83" spans="1:3" ht="15.75" customHeight="1" x14ac:dyDescent="0.2">
      <c r="A83" s="327">
        <v>82</v>
      </c>
      <c r="B83" s="336" t="s">
        <v>445</v>
      </c>
      <c r="C83" s="362">
        <v>1300000</v>
      </c>
    </row>
    <row r="84" spans="1:3" ht="15.75" customHeight="1" x14ac:dyDescent="0.15"/>
    <row r="85" spans="1:3" ht="15.75" customHeight="1" x14ac:dyDescent="0.15"/>
    <row r="86" spans="1:3" ht="15.75" customHeight="1" x14ac:dyDescent="0.15"/>
    <row r="87" spans="1:3" ht="15.75" customHeight="1" x14ac:dyDescent="0.15"/>
    <row r="88" spans="1:3" ht="15.75" customHeight="1" x14ac:dyDescent="0.15"/>
    <row r="89" spans="1:3" ht="15.75" customHeight="1" x14ac:dyDescent="0.15"/>
    <row r="90" spans="1:3" ht="15.75" customHeight="1" x14ac:dyDescent="0.15"/>
    <row r="91" spans="1:3" ht="15.75" customHeight="1" x14ac:dyDescent="0.15"/>
    <row r="92" spans="1:3" ht="15.75" customHeight="1" x14ac:dyDescent="0.15"/>
    <row r="93" spans="1:3" ht="15.75" customHeight="1" x14ac:dyDescent="0.15"/>
    <row r="94" spans="1:3" ht="15.75" customHeight="1" x14ac:dyDescent="0.15"/>
    <row r="95" spans="1:3" ht="15.75" customHeight="1" x14ac:dyDescent="0.15"/>
    <row r="96" spans="1:3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200A-B715-8A49-9DA7-DF879F4D5D92}">
  <dimension ref="A1:O25"/>
  <sheetViews>
    <sheetView zoomScale="50" workbookViewId="0">
      <selection activeCell="E29" sqref="E29"/>
    </sheetView>
  </sheetViews>
  <sheetFormatPr baseColWidth="10" defaultRowHeight="20" x14ac:dyDescent="0.2"/>
  <cols>
    <col min="1" max="1" width="6.42578125" style="25" customWidth="1"/>
    <col min="2" max="2" width="58.5703125" style="25" customWidth="1"/>
    <col min="3" max="3" width="15.85546875" style="26" customWidth="1"/>
    <col min="4" max="4" width="46.42578125" style="25" customWidth="1"/>
    <col min="5" max="5" width="15.7109375" style="27" customWidth="1"/>
    <col min="6" max="6" width="48.85546875" style="25" customWidth="1"/>
    <col min="7" max="7" width="15.7109375" style="27" customWidth="1"/>
    <col min="8" max="8" width="40.5703125" style="25" customWidth="1"/>
    <col min="9" max="9" width="15.5703125" style="27" customWidth="1"/>
    <col min="10" max="10" width="44.5703125" style="25" customWidth="1"/>
    <col min="11" max="11" width="14.5703125" style="27" customWidth="1"/>
    <col min="12" max="12" width="35.140625" style="25" customWidth="1"/>
    <col min="13" max="13" width="13.140625" style="25" customWidth="1"/>
    <col min="14" max="14" width="17.85546875" style="25" customWidth="1"/>
    <col min="15" max="15" width="15" style="25" customWidth="1"/>
    <col min="16" max="255" width="10.7109375" style="25"/>
    <col min="256" max="256" width="6.42578125" style="25" customWidth="1"/>
    <col min="257" max="257" width="0" style="25" hidden="1" customWidth="1"/>
    <col min="258" max="258" width="90.7109375" style="25" customWidth="1"/>
    <col min="259" max="259" width="15.85546875" style="25" customWidth="1"/>
    <col min="260" max="260" width="91.42578125" style="25" customWidth="1"/>
    <col min="261" max="261" width="15.7109375" style="25" customWidth="1"/>
    <col min="262" max="262" width="88.140625" style="25" customWidth="1"/>
    <col min="263" max="263" width="15.7109375" style="25" customWidth="1"/>
    <col min="264" max="264" width="86.42578125" style="25" customWidth="1"/>
    <col min="265" max="265" width="15.5703125" style="25" customWidth="1"/>
    <col min="266" max="266" width="85.7109375" style="25" customWidth="1"/>
    <col min="267" max="267" width="14.5703125" style="25" customWidth="1"/>
    <col min="268" max="268" width="35.140625" style="25" customWidth="1"/>
    <col min="269" max="269" width="13.140625" style="25" customWidth="1"/>
    <col min="270" max="270" width="17.85546875" style="25" customWidth="1"/>
    <col min="271" max="271" width="15" style="25" customWidth="1"/>
    <col min="272" max="511" width="10.7109375" style="25"/>
    <col min="512" max="512" width="6.42578125" style="25" customWidth="1"/>
    <col min="513" max="513" width="0" style="25" hidden="1" customWidth="1"/>
    <col min="514" max="514" width="90.7109375" style="25" customWidth="1"/>
    <col min="515" max="515" width="15.85546875" style="25" customWidth="1"/>
    <col min="516" max="516" width="91.42578125" style="25" customWidth="1"/>
    <col min="517" max="517" width="15.7109375" style="25" customWidth="1"/>
    <col min="518" max="518" width="88.140625" style="25" customWidth="1"/>
    <col min="519" max="519" width="15.7109375" style="25" customWidth="1"/>
    <col min="520" max="520" width="86.42578125" style="25" customWidth="1"/>
    <col min="521" max="521" width="15.5703125" style="25" customWidth="1"/>
    <col min="522" max="522" width="85.7109375" style="25" customWidth="1"/>
    <col min="523" max="523" width="14.5703125" style="25" customWidth="1"/>
    <col min="524" max="524" width="35.140625" style="25" customWidth="1"/>
    <col min="525" max="525" width="13.140625" style="25" customWidth="1"/>
    <col min="526" max="526" width="17.85546875" style="25" customWidth="1"/>
    <col min="527" max="527" width="15" style="25" customWidth="1"/>
    <col min="528" max="767" width="10.7109375" style="25"/>
    <col min="768" max="768" width="6.42578125" style="25" customWidth="1"/>
    <col min="769" max="769" width="0" style="25" hidden="1" customWidth="1"/>
    <col min="770" max="770" width="90.7109375" style="25" customWidth="1"/>
    <col min="771" max="771" width="15.85546875" style="25" customWidth="1"/>
    <col min="772" max="772" width="91.42578125" style="25" customWidth="1"/>
    <col min="773" max="773" width="15.7109375" style="25" customWidth="1"/>
    <col min="774" max="774" width="88.140625" style="25" customWidth="1"/>
    <col min="775" max="775" width="15.7109375" style="25" customWidth="1"/>
    <col min="776" max="776" width="86.42578125" style="25" customWidth="1"/>
    <col min="777" max="777" width="15.5703125" style="25" customWidth="1"/>
    <col min="778" max="778" width="85.7109375" style="25" customWidth="1"/>
    <col min="779" max="779" width="14.5703125" style="25" customWidth="1"/>
    <col min="780" max="780" width="35.140625" style="25" customWidth="1"/>
    <col min="781" max="781" width="13.140625" style="25" customWidth="1"/>
    <col min="782" max="782" width="17.85546875" style="25" customWidth="1"/>
    <col min="783" max="783" width="15" style="25" customWidth="1"/>
    <col min="784" max="1023" width="10.7109375" style="25"/>
    <col min="1024" max="1024" width="6.42578125" style="25" customWidth="1"/>
    <col min="1025" max="1025" width="0" style="25" hidden="1" customWidth="1"/>
    <col min="1026" max="1026" width="90.7109375" style="25" customWidth="1"/>
    <col min="1027" max="1027" width="15.85546875" style="25" customWidth="1"/>
    <col min="1028" max="1028" width="91.42578125" style="25" customWidth="1"/>
    <col min="1029" max="1029" width="15.7109375" style="25" customWidth="1"/>
    <col min="1030" max="1030" width="88.140625" style="25" customWidth="1"/>
    <col min="1031" max="1031" width="15.7109375" style="25" customWidth="1"/>
    <col min="1032" max="1032" width="86.42578125" style="25" customWidth="1"/>
    <col min="1033" max="1033" width="15.5703125" style="25" customWidth="1"/>
    <col min="1034" max="1034" width="85.7109375" style="25" customWidth="1"/>
    <col min="1035" max="1035" width="14.5703125" style="25" customWidth="1"/>
    <col min="1036" max="1036" width="35.140625" style="25" customWidth="1"/>
    <col min="1037" max="1037" width="13.140625" style="25" customWidth="1"/>
    <col min="1038" max="1038" width="17.85546875" style="25" customWidth="1"/>
    <col min="1039" max="1039" width="15" style="25" customWidth="1"/>
    <col min="1040" max="1279" width="10.7109375" style="25"/>
    <col min="1280" max="1280" width="6.42578125" style="25" customWidth="1"/>
    <col min="1281" max="1281" width="0" style="25" hidden="1" customWidth="1"/>
    <col min="1282" max="1282" width="90.7109375" style="25" customWidth="1"/>
    <col min="1283" max="1283" width="15.85546875" style="25" customWidth="1"/>
    <col min="1284" max="1284" width="91.42578125" style="25" customWidth="1"/>
    <col min="1285" max="1285" width="15.7109375" style="25" customWidth="1"/>
    <col min="1286" max="1286" width="88.140625" style="25" customWidth="1"/>
    <col min="1287" max="1287" width="15.7109375" style="25" customWidth="1"/>
    <col min="1288" max="1288" width="86.42578125" style="25" customWidth="1"/>
    <col min="1289" max="1289" width="15.5703125" style="25" customWidth="1"/>
    <col min="1290" max="1290" width="85.7109375" style="25" customWidth="1"/>
    <col min="1291" max="1291" width="14.5703125" style="25" customWidth="1"/>
    <col min="1292" max="1292" width="35.140625" style="25" customWidth="1"/>
    <col min="1293" max="1293" width="13.140625" style="25" customWidth="1"/>
    <col min="1294" max="1294" width="17.85546875" style="25" customWidth="1"/>
    <col min="1295" max="1295" width="15" style="25" customWidth="1"/>
    <col min="1296" max="1535" width="10.7109375" style="25"/>
    <col min="1536" max="1536" width="6.42578125" style="25" customWidth="1"/>
    <col min="1537" max="1537" width="0" style="25" hidden="1" customWidth="1"/>
    <col min="1538" max="1538" width="90.7109375" style="25" customWidth="1"/>
    <col min="1539" max="1539" width="15.85546875" style="25" customWidth="1"/>
    <col min="1540" max="1540" width="91.42578125" style="25" customWidth="1"/>
    <col min="1541" max="1541" width="15.7109375" style="25" customWidth="1"/>
    <col min="1542" max="1542" width="88.140625" style="25" customWidth="1"/>
    <col min="1543" max="1543" width="15.7109375" style="25" customWidth="1"/>
    <col min="1544" max="1544" width="86.42578125" style="25" customWidth="1"/>
    <col min="1545" max="1545" width="15.5703125" style="25" customWidth="1"/>
    <col min="1546" max="1546" width="85.7109375" style="25" customWidth="1"/>
    <col min="1547" max="1547" width="14.5703125" style="25" customWidth="1"/>
    <col min="1548" max="1548" width="35.140625" style="25" customWidth="1"/>
    <col min="1549" max="1549" width="13.140625" style="25" customWidth="1"/>
    <col min="1550" max="1550" width="17.85546875" style="25" customWidth="1"/>
    <col min="1551" max="1551" width="15" style="25" customWidth="1"/>
    <col min="1552" max="1791" width="10.7109375" style="25"/>
    <col min="1792" max="1792" width="6.42578125" style="25" customWidth="1"/>
    <col min="1793" max="1793" width="0" style="25" hidden="1" customWidth="1"/>
    <col min="1794" max="1794" width="90.7109375" style="25" customWidth="1"/>
    <col min="1795" max="1795" width="15.85546875" style="25" customWidth="1"/>
    <col min="1796" max="1796" width="91.42578125" style="25" customWidth="1"/>
    <col min="1797" max="1797" width="15.7109375" style="25" customWidth="1"/>
    <col min="1798" max="1798" width="88.140625" style="25" customWidth="1"/>
    <col min="1799" max="1799" width="15.7109375" style="25" customWidth="1"/>
    <col min="1800" max="1800" width="86.42578125" style="25" customWidth="1"/>
    <col min="1801" max="1801" width="15.5703125" style="25" customWidth="1"/>
    <col min="1802" max="1802" width="85.7109375" style="25" customWidth="1"/>
    <col min="1803" max="1803" width="14.5703125" style="25" customWidth="1"/>
    <col min="1804" max="1804" width="35.140625" style="25" customWidth="1"/>
    <col min="1805" max="1805" width="13.140625" style="25" customWidth="1"/>
    <col min="1806" max="1806" width="17.85546875" style="25" customWidth="1"/>
    <col min="1807" max="1807" width="15" style="25" customWidth="1"/>
    <col min="1808" max="2047" width="10.7109375" style="25"/>
    <col min="2048" max="2048" width="6.42578125" style="25" customWidth="1"/>
    <col min="2049" max="2049" width="0" style="25" hidden="1" customWidth="1"/>
    <col min="2050" max="2050" width="90.7109375" style="25" customWidth="1"/>
    <col min="2051" max="2051" width="15.85546875" style="25" customWidth="1"/>
    <col min="2052" max="2052" width="91.42578125" style="25" customWidth="1"/>
    <col min="2053" max="2053" width="15.7109375" style="25" customWidth="1"/>
    <col min="2054" max="2054" width="88.140625" style="25" customWidth="1"/>
    <col min="2055" max="2055" width="15.7109375" style="25" customWidth="1"/>
    <col min="2056" max="2056" width="86.42578125" style="25" customWidth="1"/>
    <col min="2057" max="2057" width="15.5703125" style="25" customWidth="1"/>
    <col min="2058" max="2058" width="85.7109375" style="25" customWidth="1"/>
    <col min="2059" max="2059" width="14.5703125" style="25" customWidth="1"/>
    <col min="2060" max="2060" width="35.140625" style="25" customWidth="1"/>
    <col min="2061" max="2061" width="13.140625" style="25" customWidth="1"/>
    <col min="2062" max="2062" width="17.85546875" style="25" customWidth="1"/>
    <col min="2063" max="2063" width="15" style="25" customWidth="1"/>
    <col min="2064" max="2303" width="10.7109375" style="25"/>
    <col min="2304" max="2304" width="6.42578125" style="25" customWidth="1"/>
    <col min="2305" max="2305" width="0" style="25" hidden="1" customWidth="1"/>
    <col min="2306" max="2306" width="90.7109375" style="25" customWidth="1"/>
    <col min="2307" max="2307" width="15.85546875" style="25" customWidth="1"/>
    <col min="2308" max="2308" width="91.42578125" style="25" customWidth="1"/>
    <col min="2309" max="2309" width="15.7109375" style="25" customWidth="1"/>
    <col min="2310" max="2310" width="88.140625" style="25" customWidth="1"/>
    <col min="2311" max="2311" width="15.7109375" style="25" customWidth="1"/>
    <col min="2312" max="2312" width="86.42578125" style="25" customWidth="1"/>
    <col min="2313" max="2313" width="15.5703125" style="25" customWidth="1"/>
    <col min="2314" max="2314" width="85.7109375" style="25" customWidth="1"/>
    <col min="2315" max="2315" width="14.5703125" style="25" customWidth="1"/>
    <col min="2316" max="2316" width="35.140625" style="25" customWidth="1"/>
    <col min="2317" max="2317" width="13.140625" style="25" customWidth="1"/>
    <col min="2318" max="2318" width="17.85546875" style="25" customWidth="1"/>
    <col min="2319" max="2319" width="15" style="25" customWidth="1"/>
    <col min="2320" max="2559" width="10.7109375" style="25"/>
    <col min="2560" max="2560" width="6.42578125" style="25" customWidth="1"/>
    <col min="2561" max="2561" width="0" style="25" hidden="1" customWidth="1"/>
    <col min="2562" max="2562" width="90.7109375" style="25" customWidth="1"/>
    <col min="2563" max="2563" width="15.85546875" style="25" customWidth="1"/>
    <col min="2564" max="2564" width="91.42578125" style="25" customWidth="1"/>
    <col min="2565" max="2565" width="15.7109375" style="25" customWidth="1"/>
    <col min="2566" max="2566" width="88.140625" style="25" customWidth="1"/>
    <col min="2567" max="2567" width="15.7109375" style="25" customWidth="1"/>
    <col min="2568" max="2568" width="86.42578125" style="25" customWidth="1"/>
    <col min="2569" max="2569" width="15.5703125" style="25" customWidth="1"/>
    <col min="2570" max="2570" width="85.7109375" style="25" customWidth="1"/>
    <col min="2571" max="2571" width="14.5703125" style="25" customWidth="1"/>
    <col min="2572" max="2572" width="35.140625" style="25" customWidth="1"/>
    <col min="2573" max="2573" width="13.140625" style="25" customWidth="1"/>
    <col min="2574" max="2574" width="17.85546875" style="25" customWidth="1"/>
    <col min="2575" max="2575" width="15" style="25" customWidth="1"/>
    <col min="2576" max="2815" width="10.7109375" style="25"/>
    <col min="2816" max="2816" width="6.42578125" style="25" customWidth="1"/>
    <col min="2817" max="2817" width="0" style="25" hidden="1" customWidth="1"/>
    <col min="2818" max="2818" width="90.7109375" style="25" customWidth="1"/>
    <col min="2819" max="2819" width="15.85546875" style="25" customWidth="1"/>
    <col min="2820" max="2820" width="91.42578125" style="25" customWidth="1"/>
    <col min="2821" max="2821" width="15.7109375" style="25" customWidth="1"/>
    <col min="2822" max="2822" width="88.140625" style="25" customWidth="1"/>
    <col min="2823" max="2823" width="15.7109375" style="25" customWidth="1"/>
    <col min="2824" max="2824" width="86.42578125" style="25" customWidth="1"/>
    <col min="2825" max="2825" width="15.5703125" style="25" customWidth="1"/>
    <col min="2826" max="2826" width="85.7109375" style="25" customWidth="1"/>
    <col min="2827" max="2827" width="14.5703125" style="25" customWidth="1"/>
    <col min="2828" max="2828" width="35.140625" style="25" customWidth="1"/>
    <col min="2829" max="2829" width="13.140625" style="25" customWidth="1"/>
    <col min="2830" max="2830" width="17.85546875" style="25" customWidth="1"/>
    <col min="2831" max="2831" width="15" style="25" customWidth="1"/>
    <col min="2832" max="3071" width="10.7109375" style="25"/>
    <col min="3072" max="3072" width="6.42578125" style="25" customWidth="1"/>
    <col min="3073" max="3073" width="0" style="25" hidden="1" customWidth="1"/>
    <col min="3074" max="3074" width="90.7109375" style="25" customWidth="1"/>
    <col min="3075" max="3075" width="15.85546875" style="25" customWidth="1"/>
    <col min="3076" max="3076" width="91.42578125" style="25" customWidth="1"/>
    <col min="3077" max="3077" width="15.7109375" style="25" customWidth="1"/>
    <col min="3078" max="3078" width="88.140625" style="25" customWidth="1"/>
    <col min="3079" max="3079" width="15.7109375" style="25" customWidth="1"/>
    <col min="3080" max="3080" width="86.42578125" style="25" customWidth="1"/>
    <col min="3081" max="3081" width="15.5703125" style="25" customWidth="1"/>
    <col min="3082" max="3082" width="85.7109375" style="25" customWidth="1"/>
    <col min="3083" max="3083" width="14.5703125" style="25" customWidth="1"/>
    <col min="3084" max="3084" width="35.140625" style="25" customWidth="1"/>
    <col min="3085" max="3085" width="13.140625" style="25" customWidth="1"/>
    <col min="3086" max="3086" width="17.85546875" style="25" customWidth="1"/>
    <col min="3087" max="3087" width="15" style="25" customWidth="1"/>
    <col min="3088" max="3327" width="10.7109375" style="25"/>
    <col min="3328" max="3328" width="6.42578125" style="25" customWidth="1"/>
    <col min="3329" max="3329" width="0" style="25" hidden="1" customWidth="1"/>
    <col min="3330" max="3330" width="90.7109375" style="25" customWidth="1"/>
    <col min="3331" max="3331" width="15.85546875" style="25" customWidth="1"/>
    <col min="3332" max="3332" width="91.42578125" style="25" customWidth="1"/>
    <col min="3333" max="3333" width="15.7109375" style="25" customWidth="1"/>
    <col min="3334" max="3334" width="88.140625" style="25" customWidth="1"/>
    <col min="3335" max="3335" width="15.7109375" style="25" customWidth="1"/>
    <col min="3336" max="3336" width="86.42578125" style="25" customWidth="1"/>
    <col min="3337" max="3337" width="15.5703125" style="25" customWidth="1"/>
    <col min="3338" max="3338" width="85.7109375" style="25" customWidth="1"/>
    <col min="3339" max="3339" width="14.5703125" style="25" customWidth="1"/>
    <col min="3340" max="3340" width="35.140625" style="25" customWidth="1"/>
    <col min="3341" max="3341" width="13.140625" style="25" customWidth="1"/>
    <col min="3342" max="3342" width="17.85546875" style="25" customWidth="1"/>
    <col min="3343" max="3343" width="15" style="25" customWidth="1"/>
    <col min="3344" max="3583" width="10.7109375" style="25"/>
    <col min="3584" max="3584" width="6.42578125" style="25" customWidth="1"/>
    <col min="3585" max="3585" width="0" style="25" hidden="1" customWidth="1"/>
    <col min="3586" max="3586" width="90.7109375" style="25" customWidth="1"/>
    <col min="3587" max="3587" width="15.85546875" style="25" customWidth="1"/>
    <col min="3588" max="3588" width="91.42578125" style="25" customWidth="1"/>
    <col min="3589" max="3589" width="15.7109375" style="25" customWidth="1"/>
    <col min="3590" max="3590" width="88.140625" style="25" customWidth="1"/>
    <col min="3591" max="3591" width="15.7109375" style="25" customWidth="1"/>
    <col min="3592" max="3592" width="86.42578125" style="25" customWidth="1"/>
    <col min="3593" max="3593" width="15.5703125" style="25" customWidth="1"/>
    <col min="3594" max="3594" width="85.7109375" style="25" customWidth="1"/>
    <col min="3595" max="3595" width="14.5703125" style="25" customWidth="1"/>
    <col min="3596" max="3596" width="35.140625" style="25" customWidth="1"/>
    <col min="3597" max="3597" width="13.140625" style="25" customWidth="1"/>
    <col min="3598" max="3598" width="17.85546875" style="25" customWidth="1"/>
    <col min="3599" max="3599" width="15" style="25" customWidth="1"/>
    <col min="3600" max="3839" width="10.7109375" style="25"/>
    <col min="3840" max="3840" width="6.42578125" style="25" customWidth="1"/>
    <col min="3841" max="3841" width="0" style="25" hidden="1" customWidth="1"/>
    <col min="3842" max="3842" width="90.7109375" style="25" customWidth="1"/>
    <col min="3843" max="3843" width="15.85546875" style="25" customWidth="1"/>
    <col min="3844" max="3844" width="91.42578125" style="25" customWidth="1"/>
    <col min="3845" max="3845" width="15.7109375" style="25" customWidth="1"/>
    <col min="3846" max="3846" width="88.140625" style="25" customWidth="1"/>
    <col min="3847" max="3847" width="15.7109375" style="25" customWidth="1"/>
    <col min="3848" max="3848" width="86.42578125" style="25" customWidth="1"/>
    <col min="3849" max="3849" width="15.5703125" style="25" customWidth="1"/>
    <col min="3850" max="3850" width="85.7109375" style="25" customWidth="1"/>
    <col min="3851" max="3851" width="14.5703125" style="25" customWidth="1"/>
    <col min="3852" max="3852" width="35.140625" style="25" customWidth="1"/>
    <col min="3853" max="3853" width="13.140625" style="25" customWidth="1"/>
    <col min="3854" max="3854" width="17.85546875" style="25" customWidth="1"/>
    <col min="3855" max="3855" width="15" style="25" customWidth="1"/>
    <col min="3856" max="4095" width="10.7109375" style="25"/>
    <col min="4096" max="4096" width="6.42578125" style="25" customWidth="1"/>
    <col min="4097" max="4097" width="0" style="25" hidden="1" customWidth="1"/>
    <col min="4098" max="4098" width="90.7109375" style="25" customWidth="1"/>
    <col min="4099" max="4099" width="15.85546875" style="25" customWidth="1"/>
    <col min="4100" max="4100" width="91.42578125" style="25" customWidth="1"/>
    <col min="4101" max="4101" width="15.7109375" style="25" customWidth="1"/>
    <col min="4102" max="4102" width="88.140625" style="25" customWidth="1"/>
    <col min="4103" max="4103" width="15.7109375" style="25" customWidth="1"/>
    <col min="4104" max="4104" width="86.42578125" style="25" customWidth="1"/>
    <col min="4105" max="4105" width="15.5703125" style="25" customWidth="1"/>
    <col min="4106" max="4106" width="85.7109375" style="25" customWidth="1"/>
    <col min="4107" max="4107" width="14.5703125" style="25" customWidth="1"/>
    <col min="4108" max="4108" width="35.140625" style="25" customWidth="1"/>
    <col min="4109" max="4109" width="13.140625" style="25" customWidth="1"/>
    <col min="4110" max="4110" width="17.85546875" style="25" customWidth="1"/>
    <col min="4111" max="4111" width="15" style="25" customWidth="1"/>
    <col min="4112" max="4351" width="10.7109375" style="25"/>
    <col min="4352" max="4352" width="6.42578125" style="25" customWidth="1"/>
    <col min="4353" max="4353" width="0" style="25" hidden="1" customWidth="1"/>
    <col min="4354" max="4354" width="90.7109375" style="25" customWidth="1"/>
    <col min="4355" max="4355" width="15.85546875" style="25" customWidth="1"/>
    <col min="4356" max="4356" width="91.42578125" style="25" customWidth="1"/>
    <col min="4357" max="4357" width="15.7109375" style="25" customWidth="1"/>
    <col min="4358" max="4358" width="88.140625" style="25" customWidth="1"/>
    <col min="4359" max="4359" width="15.7109375" style="25" customWidth="1"/>
    <col min="4360" max="4360" width="86.42578125" style="25" customWidth="1"/>
    <col min="4361" max="4361" width="15.5703125" style="25" customWidth="1"/>
    <col min="4362" max="4362" width="85.7109375" style="25" customWidth="1"/>
    <col min="4363" max="4363" width="14.5703125" style="25" customWidth="1"/>
    <col min="4364" max="4364" width="35.140625" style="25" customWidth="1"/>
    <col min="4365" max="4365" width="13.140625" style="25" customWidth="1"/>
    <col min="4366" max="4366" width="17.85546875" style="25" customWidth="1"/>
    <col min="4367" max="4367" width="15" style="25" customWidth="1"/>
    <col min="4368" max="4607" width="10.7109375" style="25"/>
    <col min="4608" max="4608" width="6.42578125" style="25" customWidth="1"/>
    <col min="4609" max="4609" width="0" style="25" hidden="1" customWidth="1"/>
    <col min="4610" max="4610" width="90.7109375" style="25" customWidth="1"/>
    <col min="4611" max="4611" width="15.85546875" style="25" customWidth="1"/>
    <col min="4612" max="4612" width="91.42578125" style="25" customWidth="1"/>
    <col min="4613" max="4613" width="15.7109375" style="25" customWidth="1"/>
    <col min="4614" max="4614" width="88.140625" style="25" customWidth="1"/>
    <col min="4615" max="4615" width="15.7109375" style="25" customWidth="1"/>
    <col min="4616" max="4616" width="86.42578125" style="25" customWidth="1"/>
    <col min="4617" max="4617" width="15.5703125" style="25" customWidth="1"/>
    <col min="4618" max="4618" width="85.7109375" style="25" customWidth="1"/>
    <col min="4619" max="4619" width="14.5703125" style="25" customWidth="1"/>
    <col min="4620" max="4620" width="35.140625" style="25" customWidth="1"/>
    <col min="4621" max="4621" width="13.140625" style="25" customWidth="1"/>
    <col min="4622" max="4622" width="17.85546875" style="25" customWidth="1"/>
    <col min="4623" max="4623" width="15" style="25" customWidth="1"/>
    <col min="4624" max="4863" width="10.7109375" style="25"/>
    <col min="4864" max="4864" width="6.42578125" style="25" customWidth="1"/>
    <col min="4865" max="4865" width="0" style="25" hidden="1" customWidth="1"/>
    <col min="4866" max="4866" width="90.7109375" style="25" customWidth="1"/>
    <col min="4867" max="4867" width="15.85546875" style="25" customWidth="1"/>
    <col min="4868" max="4868" width="91.42578125" style="25" customWidth="1"/>
    <col min="4869" max="4869" width="15.7109375" style="25" customWidth="1"/>
    <col min="4870" max="4870" width="88.140625" style="25" customWidth="1"/>
    <col min="4871" max="4871" width="15.7109375" style="25" customWidth="1"/>
    <col min="4872" max="4872" width="86.42578125" style="25" customWidth="1"/>
    <col min="4873" max="4873" width="15.5703125" style="25" customWidth="1"/>
    <col min="4874" max="4874" width="85.7109375" style="25" customWidth="1"/>
    <col min="4875" max="4875" width="14.5703125" style="25" customWidth="1"/>
    <col min="4876" max="4876" width="35.140625" style="25" customWidth="1"/>
    <col min="4877" max="4877" width="13.140625" style="25" customWidth="1"/>
    <col min="4878" max="4878" width="17.85546875" style="25" customWidth="1"/>
    <col min="4879" max="4879" width="15" style="25" customWidth="1"/>
    <col min="4880" max="5119" width="10.7109375" style="25"/>
    <col min="5120" max="5120" width="6.42578125" style="25" customWidth="1"/>
    <col min="5121" max="5121" width="0" style="25" hidden="1" customWidth="1"/>
    <col min="5122" max="5122" width="90.7109375" style="25" customWidth="1"/>
    <col min="5123" max="5123" width="15.85546875" style="25" customWidth="1"/>
    <col min="5124" max="5124" width="91.42578125" style="25" customWidth="1"/>
    <col min="5125" max="5125" width="15.7109375" style="25" customWidth="1"/>
    <col min="5126" max="5126" width="88.140625" style="25" customWidth="1"/>
    <col min="5127" max="5127" width="15.7109375" style="25" customWidth="1"/>
    <col min="5128" max="5128" width="86.42578125" style="25" customWidth="1"/>
    <col min="5129" max="5129" width="15.5703125" style="25" customWidth="1"/>
    <col min="5130" max="5130" width="85.7109375" style="25" customWidth="1"/>
    <col min="5131" max="5131" width="14.5703125" style="25" customWidth="1"/>
    <col min="5132" max="5132" width="35.140625" style="25" customWidth="1"/>
    <col min="5133" max="5133" width="13.140625" style="25" customWidth="1"/>
    <col min="5134" max="5134" width="17.85546875" style="25" customWidth="1"/>
    <col min="5135" max="5135" width="15" style="25" customWidth="1"/>
    <col min="5136" max="5375" width="10.7109375" style="25"/>
    <col min="5376" max="5376" width="6.42578125" style="25" customWidth="1"/>
    <col min="5377" max="5377" width="0" style="25" hidden="1" customWidth="1"/>
    <col min="5378" max="5378" width="90.7109375" style="25" customWidth="1"/>
    <col min="5379" max="5379" width="15.85546875" style="25" customWidth="1"/>
    <col min="5380" max="5380" width="91.42578125" style="25" customWidth="1"/>
    <col min="5381" max="5381" width="15.7109375" style="25" customWidth="1"/>
    <col min="5382" max="5382" width="88.140625" style="25" customWidth="1"/>
    <col min="5383" max="5383" width="15.7109375" style="25" customWidth="1"/>
    <col min="5384" max="5384" width="86.42578125" style="25" customWidth="1"/>
    <col min="5385" max="5385" width="15.5703125" style="25" customWidth="1"/>
    <col min="5386" max="5386" width="85.7109375" style="25" customWidth="1"/>
    <col min="5387" max="5387" width="14.5703125" style="25" customWidth="1"/>
    <col min="5388" max="5388" width="35.140625" style="25" customWidth="1"/>
    <col min="5389" max="5389" width="13.140625" style="25" customWidth="1"/>
    <col min="5390" max="5390" width="17.85546875" style="25" customWidth="1"/>
    <col min="5391" max="5391" width="15" style="25" customWidth="1"/>
    <col min="5392" max="5631" width="10.7109375" style="25"/>
    <col min="5632" max="5632" width="6.42578125" style="25" customWidth="1"/>
    <col min="5633" max="5633" width="0" style="25" hidden="1" customWidth="1"/>
    <col min="5634" max="5634" width="90.7109375" style="25" customWidth="1"/>
    <col min="5635" max="5635" width="15.85546875" style="25" customWidth="1"/>
    <col min="5636" max="5636" width="91.42578125" style="25" customWidth="1"/>
    <col min="5637" max="5637" width="15.7109375" style="25" customWidth="1"/>
    <col min="5638" max="5638" width="88.140625" style="25" customWidth="1"/>
    <col min="5639" max="5639" width="15.7109375" style="25" customWidth="1"/>
    <col min="5640" max="5640" width="86.42578125" style="25" customWidth="1"/>
    <col min="5641" max="5641" width="15.5703125" style="25" customWidth="1"/>
    <col min="5642" max="5642" width="85.7109375" style="25" customWidth="1"/>
    <col min="5643" max="5643" width="14.5703125" style="25" customWidth="1"/>
    <col min="5644" max="5644" width="35.140625" style="25" customWidth="1"/>
    <col min="5645" max="5645" width="13.140625" style="25" customWidth="1"/>
    <col min="5646" max="5646" width="17.85546875" style="25" customWidth="1"/>
    <col min="5647" max="5647" width="15" style="25" customWidth="1"/>
    <col min="5648" max="5887" width="10.7109375" style="25"/>
    <col min="5888" max="5888" width="6.42578125" style="25" customWidth="1"/>
    <col min="5889" max="5889" width="0" style="25" hidden="1" customWidth="1"/>
    <col min="5890" max="5890" width="90.7109375" style="25" customWidth="1"/>
    <col min="5891" max="5891" width="15.85546875" style="25" customWidth="1"/>
    <col min="5892" max="5892" width="91.42578125" style="25" customWidth="1"/>
    <col min="5893" max="5893" width="15.7109375" style="25" customWidth="1"/>
    <col min="5894" max="5894" width="88.140625" style="25" customWidth="1"/>
    <col min="5895" max="5895" width="15.7109375" style="25" customWidth="1"/>
    <col min="5896" max="5896" width="86.42578125" style="25" customWidth="1"/>
    <col min="5897" max="5897" width="15.5703125" style="25" customWidth="1"/>
    <col min="5898" max="5898" width="85.7109375" style="25" customWidth="1"/>
    <col min="5899" max="5899" width="14.5703125" style="25" customWidth="1"/>
    <col min="5900" max="5900" width="35.140625" style="25" customWidth="1"/>
    <col min="5901" max="5901" width="13.140625" style="25" customWidth="1"/>
    <col min="5902" max="5902" width="17.85546875" style="25" customWidth="1"/>
    <col min="5903" max="5903" width="15" style="25" customWidth="1"/>
    <col min="5904" max="6143" width="10.7109375" style="25"/>
    <col min="6144" max="6144" width="6.42578125" style="25" customWidth="1"/>
    <col min="6145" max="6145" width="0" style="25" hidden="1" customWidth="1"/>
    <col min="6146" max="6146" width="90.7109375" style="25" customWidth="1"/>
    <col min="6147" max="6147" width="15.85546875" style="25" customWidth="1"/>
    <col min="6148" max="6148" width="91.42578125" style="25" customWidth="1"/>
    <col min="6149" max="6149" width="15.7109375" style="25" customWidth="1"/>
    <col min="6150" max="6150" width="88.140625" style="25" customWidth="1"/>
    <col min="6151" max="6151" width="15.7109375" style="25" customWidth="1"/>
    <col min="6152" max="6152" width="86.42578125" style="25" customWidth="1"/>
    <col min="6153" max="6153" width="15.5703125" style="25" customWidth="1"/>
    <col min="6154" max="6154" width="85.7109375" style="25" customWidth="1"/>
    <col min="6155" max="6155" width="14.5703125" style="25" customWidth="1"/>
    <col min="6156" max="6156" width="35.140625" style="25" customWidth="1"/>
    <col min="6157" max="6157" width="13.140625" style="25" customWidth="1"/>
    <col min="6158" max="6158" width="17.85546875" style="25" customWidth="1"/>
    <col min="6159" max="6159" width="15" style="25" customWidth="1"/>
    <col min="6160" max="6399" width="10.7109375" style="25"/>
    <col min="6400" max="6400" width="6.42578125" style="25" customWidth="1"/>
    <col min="6401" max="6401" width="0" style="25" hidden="1" customWidth="1"/>
    <col min="6402" max="6402" width="90.7109375" style="25" customWidth="1"/>
    <col min="6403" max="6403" width="15.85546875" style="25" customWidth="1"/>
    <col min="6404" max="6404" width="91.42578125" style="25" customWidth="1"/>
    <col min="6405" max="6405" width="15.7109375" style="25" customWidth="1"/>
    <col min="6406" max="6406" width="88.140625" style="25" customWidth="1"/>
    <col min="6407" max="6407" width="15.7109375" style="25" customWidth="1"/>
    <col min="6408" max="6408" width="86.42578125" style="25" customWidth="1"/>
    <col min="6409" max="6409" width="15.5703125" style="25" customWidth="1"/>
    <col min="6410" max="6410" width="85.7109375" style="25" customWidth="1"/>
    <col min="6411" max="6411" width="14.5703125" style="25" customWidth="1"/>
    <col min="6412" max="6412" width="35.140625" style="25" customWidth="1"/>
    <col min="6413" max="6413" width="13.140625" style="25" customWidth="1"/>
    <col min="6414" max="6414" width="17.85546875" style="25" customWidth="1"/>
    <col min="6415" max="6415" width="15" style="25" customWidth="1"/>
    <col min="6416" max="6655" width="10.7109375" style="25"/>
    <col min="6656" max="6656" width="6.42578125" style="25" customWidth="1"/>
    <col min="6657" max="6657" width="0" style="25" hidden="1" customWidth="1"/>
    <col min="6658" max="6658" width="90.7109375" style="25" customWidth="1"/>
    <col min="6659" max="6659" width="15.85546875" style="25" customWidth="1"/>
    <col min="6660" max="6660" width="91.42578125" style="25" customWidth="1"/>
    <col min="6661" max="6661" width="15.7109375" style="25" customWidth="1"/>
    <col min="6662" max="6662" width="88.140625" style="25" customWidth="1"/>
    <col min="6663" max="6663" width="15.7109375" style="25" customWidth="1"/>
    <col min="6664" max="6664" width="86.42578125" style="25" customWidth="1"/>
    <col min="6665" max="6665" width="15.5703125" style="25" customWidth="1"/>
    <col min="6666" max="6666" width="85.7109375" style="25" customWidth="1"/>
    <col min="6667" max="6667" width="14.5703125" style="25" customWidth="1"/>
    <col min="6668" max="6668" width="35.140625" style="25" customWidth="1"/>
    <col min="6669" max="6669" width="13.140625" style="25" customWidth="1"/>
    <col min="6670" max="6670" width="17.85546875" style="25" customWidth="1"/>
    <col min="6671" max="6671" width="15" style="25" customWidth="1"/>
    <col min="6672" max="6911" width="10.7109375" style="25"/>
    <col min="6912" max="6912" width="6.42578125" style="25" customWidth="1"/>
    <col min="6913" max="6913" width="0" style="25" hidden="1" customWidth="1"/>
    <col min="6914" max="6914" width="90.7109375" style="25" customWidth="1"/>
    <col min="6915" max="6915" width="15.85546875" style="25" customWidth="1"/>
    <col min="6916" max="6916" width="91.42578125" style="25" customWidth="1"/>
    <col min="6917" max="6917" width="15.7109375" style="25" customWidth="1"/>
    <col min="6918" max="6918" width="88.140625" style="25" customWidth="1"/>
    <col min="6919" max="6919" width="15.7109375" style="25" customWidth="1"/>
    <col min="6920" max="6920" width="86.42578125" style="25" customWidth="1"/>
    <col min="6921" max="6921" width="15.5703125" style="25" customWidth="1"/>
    <col min="6922" max="6922" width="85.7109375" style="25" customWidth="1"/>
    <col min="6923" max="6923" width="14.5703125" style="25" customWidth="1"/>
    <col min="6924" max="6924" width="35.140625" style="25" customWidth="1"/>
    <col min="6925" max="6925" width="13.140625" style="25" customWidth="1"/>
    <col min="6926" max="6926" width="17.85546875" style="25" customWidth="1"/>
    <col min="6927" max="6927" width="15" style="25" customWidth="1"/>
    <col min="6928" max="7167" width="10.7109375" style="25"/>
    <col min="7168" max="7168" width="6.42578125" style="25" customWidth="1"/>
    <col min="7169" max="7169" width="0" style="25" hidden="1" customWidth="1"/>
    <col min="7170" max="7170" width="90.7109375" style="25" customWidth="1"/>
    <col min="7171" max="7171" width="15.85546875" style="25" customWidth="1"/>
    <col min="7172" max="7172" width="91.42578125" style="25" customWidth="1"/>
    <col min="7173" max="7173" width="15.7109375" style="25" customWidth="1"/>
    <col min="7174" max="7174" width="88.140625" style="25" customWidth="1"/>
    <col min="7175" max="7175" width="15.7109375" style="25" customWidth="1"/>
    <col min="7176" max="7176" width="86.42578125" style="25" customWidth="1"/>
    <col min="7177" max="7177" width="15.5703125" style="25" customWidth="1"/>
    <col min="7178" max="7178" width="85.7109375" style="25" customWidth="1"/>
    <col min="7179" max="7179" width="14.5703125" style="25" customWidth="1"/>
    <col min="7180" max="7180" width="35.140625" style="25" customWidth="1"/>
    <col min="7181" max="7181" width="13.140625" style="25" customWidth="1"/>
    <col min="7182" max="7182" width="17.85546875" style="25" customWidth="1"/>
    <col min="7183" max="7183" width="15" style="25" customWidth="1"/>
    <col min="7184" max="7423" width="10.7109375" style="25"/>
    <col min="7424" max="7424" width="6.42578125" style="25" customWidth="1"/>
    <col min="7425" max="7425" width="0" style="25" hidden="1" customWidth="1"/>
    <col min="7426" max="7426" width="90.7109375" style="25" customWidth="1"/>
    <col min="7427" max="7427" width="15.85546875" style="25" customWidth="1"/>
    <col min="7428" max="7428" width="91.42578125" style="25" customWidth="1"/>
    <col min="7429" max="7429" width="15.7109375" style="25" customWidth="1"/>
    <col min="7430" max="7430" width="88.140625" style="25" customWidth="1"/>
    <col min="7431" max="7431" width="15.7109375" style="25" customWidth="1"/>
    <col min="7432" max="7432" width="86.42578125" style="25" customWidth="1"/>
    <col min="7433" max="7433" width="15.5703125" style="25" customWidth="1"/>
    <col min="7434" max="7434" width="85.7109375" style="25" customWidth="1"/>
    <col min="7435" max="7435" width="14.5703125" style="25" customWidth="1"/>
    <col min="7436" max="7436" width="35.140625" style="25" customWidth="1"/>
    <col min="7437" max="7437" width="13.140625" style="25" customWidth="1"/>
    <col min="7438" max="7438" width="17.85546875" style="25" customWidth="1"/>
    <col min="7439" max="7439" width="15" style="25" customWidth="1"/>
    <col min="7440" max="7679" width="10.7109375" style="25"/>
    <col min="7680" max="7680" width="6.42578125" style="25" customWidth="1"/>
    <col min="7681" max="7681" width="0" style="25" hidden="1" customWidth="1"/>
    <col min="7682" max="7682" width="90.7109375" style="25" customWidth="1"/>
    <col min="7683" max="7683" width="15.85546875" style="25" customWidth="1"/>
    <col min="7684" max="7684" width="91.42578125" style="25" customWidth="1"/>
    <col min="7685" max="7685" width="15.7109375" style="25" customWidth="1"/>
    <col min="7686" max="7686" width="88.140625" style="25" customWidth="1"/>
    <col min="7687" max="7687" width="15.7109375" style="25" customWidth="1"/>
    <col min="7688" max="7688" width="86.42578125" style="25" customWidth="1"/>
    <col min="7689" max="7689" width="15.5703125" style="25" customWidth="1"/>
    <col min="7690" max="7690" width="85.7109375" style="25" customWidth="1"/>
    <col min="7691" max="7691" width="14.5703125" style="25" customWidth="1"/>
    <col min="7692" max="7692" width="35.140625" style="25" customWidth="1"/>
    <col min="7693" max="7693" width="13.140625" style="25" customWidth="1"/>
    <col min="7694" max="7694" width="17.85546875" style="25" customWidth="1"/>
    <col min="7695" max="7695" width="15" style="25" customWidth="1"/>
    <col min="7696" max="7935" width="10.7109375" style="25"/>
    <col min="7936" max="7936" width="6.42578125" style="25" customWidth="1"/>
    <col min="7937" max="7937" width="0" style="25" hidden="1" customWidth="1"/>
    <col min="7938" max="7938" width="90.7109375" style="25" customWidth="1"/>
    <col min="7939" max="7939" width="15.85546875" style="25" customWidth="1"/>
    <col min="7940" max="7940" width="91.42578125" style="25" customWidth="1"/>
    <col min="7941" max="7941" width="15.7109375" style="25" customWidth="1"/>
    <col min="7942" max="7942" width="88.140625" style="25" customWidth="1"/>
    <col min="7943" max="7943" width="15.7109375" style="25" customWidth="1"/>
    <col min="7944" max="7944" width="86.42578125" style="25" customWidth="1"/>
    <col min="7945" max="7945" width="15.5703125" style="25" customWidth="1"/>
    <col min="7946" max="7946" width="85.7109375" style="25" customWidth="1"/>
    <col min="7947" max="7947" width="14.5703125" style="25" customWidth="1"/>
    <col min="7948" max="7948" width="35.140625" style="25" customWidth="1"/>
    <col min="7949" max="7949" width="13.140625" style="25" customWidth="1"/>
    <col min="7950" max="7950" width="17.85546875" style="25" customWidth="1"/>
    <col min="7951" max="7951" width="15" style="25" customWidth="1"/>
    <col min="7952" max="8191" width="10.7109375" style="25"/>
    <col min="8192" max="8192" width="6.42578125" style="25" customWidth="1"/>
    <col min="8193" max="8193" width="0" style="25" hidden="1" customWidth="1"/>
    <col min="8194" max="8194" width="90.7109375" style="25" customWidth="1"/>
    <col min="8195" max="8195" width="15.85546875" style="25" customWidth="1"/>
    <col min="8196" max="8196" width="91.42578125" style="25" customWidth="1"/>
    <col min="8197" max="8197" width="15.7109375" style="25" customWidth="1"/>
    <col min="8198" max="8198" width="88.140625" style="25" customWidth="1"/>
    <col min="8199" max="8199" width="15.7109375" style="25" customWidth="1"/>
    <col min="8200" max="8200" width="86.42578125" style="25" customWidth="1"/>
    <col min="8201" max="8201" width="15.5703125" style="25" customWidth="1"/>
    <col min="8202" max="8202" width="85.7109375" style="25" customWidth="1"/>
    <col min="8203" max="8203" width="14.5703125" style="25" customWidth="1"/>
    <col min="8204" max="8204" width="35.140625" style="25" customWidth="1"/>
    <col min="8205" max="8205" width="13.140625" style="25" customWidth="1"/>
    <col min="8206" max="8206" width="17.85546875" style="25" customWidth="1"/>
    <col min="8207" max="8207" width="15" style="25" customWidth="1"/>
    <col min="8208" max="8447" width="10.7109375" style="25"/>
    <col min="8448" max="8448" width="6.42578125" style="25" customWidth="1"/>
    <col min="8449" max="8449" width="0" style="25" hidden="1" customWidth="1"/>
    <col min="8450" max="8450" width="90.7109375" style="25" customWidth="1"/>
    <col min="8451" max="8451" width="15.85546875" style="25" customWidth="1"/>
    <col min="8452" max="8452" width="91.42578125" style="25" customWidth="1"/>
    <col min="8453" max="8453" width="15.7109375" style="25" customWidth="1"/>
    <col min="8454" max="8454" width="88.140625" style="25" customWidth="1"/>
    <col min="8455" max="8455" width="15.7109375" style="25" customWidth="1"/>
    <col min="8456" max="8456" width="86.42578125" style="25" customWidth="1"/>
    <col min="8457" max="8457" width="15.5703125" style="25" customWidth="1"/>
    <col min="8458" max="8458" width="85.7109375" style="25" customWidth="1"/>
    <col min="8459" max="8459" width="14.5703125" style="25" customWidth="1"/>
    <col min="8460" max="8460" width="35.140625" style="25" customWidth="1"/>
    <col min="8461" max="8461" width="13.140625" style="25" customWidth="1"/>
    <col min="8462" max="8462" width="17.85546875" style="25" customWidth="1"/>
    <col min="8463" max="8463" width="15" style="25" customWidth="1"/>
    <col min="8464" max="8703" width="10.7109375" style="25"/>
    <col min="8704" max="8704" width="6.42578125" style="25" customWidth="1"/>
    <col min="8705" max="8705" width="0" style="25" hidden="1" customWidth="1"/>
    <col min="8706" max="8706" width="90.7109375" style="25" customWidth="1"/>
    <col min="8707" max="8707" width="15.85546875" style="25" customWidth="1"/>
    <col min="8708" max="8708" width="91.42578125" style="25" customWidth="1"/>
    <col min="8709" max="8709" width="15.7109375" style="25" customWidth="1"/>
    <col min="8710" max="8710" width="88.140625" style="25" customWidth="1"/>
    <col min="8711" max="8711" width="15.7109375" style="25" customWidth="1"/>
    <col min="8712" max="8712" width="86.42578125" style="25" customWidth="1"/>
    <col min="8713" max="8713" width="15.5703125" style="25" customWidth="1"/>
    <col min="8714" max="8714" width="85.7109375" style="25" customWidth="1"/>
    <col min="8715" max="8715" width="14.5703125" style="25" customWidth="1"/>
    <col min="8716" max="8716" width="35.140625" style="25" customWidth="1"/>
    <col min="8717" max="8717" width="13.140625" style="25" customWidth="1"/>
    <col min="8718" max="8718" width="17.85546875" style="25" customWidth="1"/>
    <col min="8719" max="8719" width="15" style="25" customWidth="1"/>
    <col min="8720" max="8959" width="10.7109375" style="25"/>
    <col min="8960" max="8960" width="6.42578125" style="25" customWidth="1"/>
    <col min="8961" max="8961" width="0" style="25" hidden="1" customWidth="1"/>
    <col min="8962" max="8962" width="90.7109375" style="25" customWidth="1"/>
    <col min="8963" max="8963" width="15.85546875" style="25" customWidth="1"/>
    <col min="8964" max="8964" width="91.42578125" style="25" customWidth="1"/>
    <col min="8965" max="8965" width="15.7109375" style="25" customWidth="1"/>
    <col min="8966" max="8966" width="88.140625" style="25" customWidth="1"/>
    <col min="8967" max="8967" width="15.7109375" style="25" customWidth="1"/>
    <col min="8968" max="8968" width="86.42578125" style="25" customWidth="1"/>
    <col min="8969" max="8969" width="15.5703125" style="25" customWidth="1"/>
    <col min="8970" max="8970" width="85.7109375" style="25" customWidth="1"/>
    <col min="8971" max="8971" width="14.5703125" style="25" customWidth="1"/>
    <col min="8972" max="8972" width="35.140625" style="25" customWidth="1"/>
    <col min="8973" max="8973" width="13.140625" style="25" customWidth="1"/>
    <col min="8974" max="8974" width="17.85546875" style="25" customWidth="1"/>
    <col min="8975" max="8975" width="15" style="25" customWidth="1"/>
    <col min="8976" max="9215" width="10.7109375" style="25"/>
    <col min="9216" max="9216" width="6.42578125" style="25" customWidth="1"/>
    <col min="9217" max="9217" width="0" style="25" hidden="1" customWidth="1"/>
    <col min="9218" max="9218" width="90.7109375" style="25" customWidth="1"/>
    <col min="9219" max="9219" width="15.85546875" style="25" customWidth="1"/>
    <col min="9220" max="9220" width="91.42578125" style="25" customWidth="1"/>
    <col min="9221" max="9221" width="15.7109375" style="25" customWidth="1"/>
    <col min="9222" max="9222" width="88.140625" style="25" customWidth="1"/>
    <col min="9223" max="9223" width="15.7109375" style="25" customWidth="1"/>
    <col min="9224" max="9224" width="86.42578125" style="25" customWidth="1"/>
    <col min="9225" max="9225" width="15.5703125" style="25" customWidth="1"/>
    <col min="9226" max="9226" width="85.7109375" style="25" customWidth="1"/>
    <col min="9227" max="9227" width="14.5703125" style="25" customWidth="1"/>
    <col min="9228" max="9228" width="35.140625" style="25" customWidth="1"/>
    <col min="9229" max="9229" width="13.140625" style="25" customWidth="1"/>
    <col min="9230" max="9230" width="17.85546875" style="25" customWidth="1"/>
    <col min="9231" max="9231" width="15" style="25" customWidth="1"/>
    <col min="9232" max="9471" width="10.7109375" style="25"/>
    <col min="9472" max="9472" width="6.42578125" style="25" customWidth="1"/>
    <col min="9473" max="9473" width="0" style="25" hidden="1" customWidth="1"/>
    <col min="9474" max="9474" width="90.7109375" style="25" customWidth="1"/>
    <col min="9475" max="9475" width="15.85546875" style="25" customWidth="1"/>
    <col min="9476" max="9476" width="91.42578125" style="25" customWidth="1"/>
    <col min="9477" max="9477" width="15.7109375" style="25" customWidth="1"/>
    <col min="9478" max="9478" width="88.140625" style="25" customWidth="1"/>
    <col min="9479" max="9479" width="15.7109375" style="25" customWidth="1"/>
    <col min="9480" max="9480" width="86.42578125" style="25" customWidth="1"/>
    <col min="9481" max="9481" width="15.5703125" style="25" customWidth="1"/>
    <col min="9482" max="9482" width="85.7109375" style="25" customWidth="1"/>
    <col min="9483" max="9483" width="14.5703125" style="25" customWidth="1"/>
    <col min="9484" max="9484" width="35.140625" style="25" customWidth="1"/>
    <col min="9485" max="9485" width="13.140625" style="25" customWidth="1"/>
    <col min="9486" max="9486" width="17.85546875" style="25" customWidth="1"/>
    <col min="9487" max="9487" width="15" style="25" customWidth="1"/>
    <col min="9488" max="9727" width="10.7109375" style="25"/>
    <col min="9728" max="9728" width="6.42578125" style="25" customWidth="1"/>
    <col min="9729" max="9729" width="0" style="25" hidden="1" customWidth="1"/>
    <col min="9730" max="9730" width="90.7109375" style="25" customWidth="1"/>
    <col min="9731" max="9731" width="15.85546875" style="25" customWidth="1"/>
    <col min="9732" max="9732" width="91.42578125" style="25" customWidth="1"/>
    <col min="9733" max="9733" width="15.7109375" style="25" customWidth="1"/>
    <col min="9734" max="9734" width="88.140625" style="25" customWidth="1"/>
    <col min="9735" max="9735" width="15.7109375" style="25" customWidth="1"/>
    <col min="9736" max="9736" width="86.42578125" style="25" customWidth="1"/>
    <col min="9737" max="9737" width="15.5703125" style="25" customWidth="1"/>
    <col min="9738" max="9738" width="85.7109375" style="25" customWidth="1"/>
    <col min="9739" max="9739" width="14.5703125" style="25" customWidth="1"/>
    <col min="9740" max="9740" width="35.140625" style="25" customWidth="1"/>
    <col min="9741" max="9741" width="13.140625" style="25" customWidth="1"/>
    <col min="9742" max="9742" width="17.85546875" style="25" customWidth="1"/>
    <col min="9743" max="9743" width="15" style="25" customWidth="1"/>
    <col min="9744" max="9983" width="10.7109375" style="25"/>
    <col min="9984" max="9984" width="6.42578125" style="25" customWidth="1"/>
    <col min="9985" max="9985" width="0" style="25" hidden="1" customWidth="1"/>
    <col min="9986" max="9986" width="90.7109375" style="25" customWidth="1"/>
    <col min="9987" max="9987" width="15.85546875" style="25" customWidth="1"/>
    <col min="9988" max="9988" width="91.42578125" style="25" customWidth="1"/>
    <col min="9989" max="9989" width="15.7109375" style="25" customWidth="1"/>
    <col min="9990" max="9990" width="88.140625" style="25" customWidth="1"/>
    <col min="9991" max="9991" width="15.7109375" style="25" customWidth="1"/>
    <col min="9992" max="9992" width="86.42578125" style="25" customWidth="1"/>
    <col min="9993" max="9993" width="15.5703125" style="25" customWidth="1"/>
    <col min="9994" max="9994" width="85.7109375" style="25" customWidth="1"/>
    <col min="9995" max="9995" width="14.5703125" style="25" customWidth="1"/>
    <col min="9996" max="9996" width="35.140625" style="25" customWidth="1"/>
    <col min="9997" max="9997" width="13.140625" style="25" customWidth="1"/>
    <col min="9998" max="9998" width="17.85546875" style="25" customWidth="1"/>
    <col min="9999" max="9999" width="15" style="25" customWidth="1"/>
    <col min="10000" max="10239" width="10.7109375" style="25"/>
    <col min="10240" max="10240" width="6.42578125" style="25" customWidth="1"/>
    <col min="10241" max="10241" width="0" style="25" hidden="1" customWidth="1"/>
    <col min="10242" max="10242" width="90.7109375" style="25" customWidth="1"/>
    <col min="10243" max="10243" width="15.85546875" style="25" customWidth="1"/>
    <col min="10244" max="10244" width="91.42578125" style="25" customWidth="1"/>
    <col min="10245" max="10245" width="15.7109375" style="25" customWidth="1"/>
    <col min="10246" max="10246" width="88.140625" style="25" customWidth="1"/>
    <col min="10247" max="10247" width="15.7109375" style="25" customWidth="1"/>
    <col min="10248" max="10248" width="86.42578125" style="25" customWidth="1"/>
    <col min="10249" max="10249" width="15.5703125" style="25" customWidth="1"/>
    <col min="10250" max="10250" width="85.7109375" style="25" customWidth="1"/>
    <col min="10251" max="10251" width="14.5703125" style="25" customWidth="1"/>
    <col min="10252" max="10252" width="35.140625" style="25" customWidth="1"/>
    <col min="10253" max="10253" width="13.140625" style="25" customWidth="1"/>
    <col min="10254" max="10254" width="17.85546875" style="25" customWidth="1"/>
    <col min="10255" max="10255" width="15" style="25" customWidth="1"/>
    <col min="10256" max="10495" width="10.7109375" style="25"/>
    <col min="10496" max="10496" width="6.42578125" style="25" customWidth="1"/>
    <col min="10497" max="10497" width="0" style="25" hidden="1" customWidth="1"/>
    <col min="10498" max="10498" width="90.7109375" style="25" customWidth="1"/>
    <col min="10499" max="10499" width="15.85546875" style="25" customWidth="1"/>
    <col min="10500" max="10500" width="91.42578125" style="25" customWidth="1"/>
    <col min="10501" max="10501" width="15.7109375" style="25" customWidth="1"/>
    <col min="10502" max="10502" width="88.140625" style="25" customWidth="1"/>
    <col min="10503" max="10503" width="15.7109375" style="25" customWidth="1"/>
    <col min="10504" max="10504" width="86.42578125" style="25" customWidth="1"/>
    <col min="10505" max="10505" width="15.5703125" style="25" customWidth="1"/>
    <col min="10506" max="10506" width="85.7109375" style="25" customWidth="1"/>
    <col min="10507" max="10507" width="14.5703125" style="25" customWidth="1"/>
    <col min="10508" max="10508" width="35.140625" style="25" customWidth="1"/>
    <col min="10509" max="10509" width="13.140625" style="25" customWidth="1"/>
    <col min="10510" max="10510" width="17.85546875" style="25" customWidth="1"/>
    <col min="10511" max="10511" width="15" style="25" customWidth="1"/>
    <col min="10512" max="10751" width="10.7109375" style="25"/>
    <col min="10752" max="10752" width="6.42578125" style="25" customWidth="1"/>
    <col min="10753" max="10753" width="0" style="25" hidden="1" customWidth="1"/>
    <col min="10754" max="10754" width="90.7109375" style="25" customWidth="1"/>
    <col min="10755" max="10755" width="15.85546875" style="25" customWidth="1"/>
    <col min="10756" max="10756" width="91.42578125" style="25" customWidth="1"/>
    <col min="10757" max="10757" width="15.7109375" style="25" customWidth="1"/>
    <col min="10758" max="10758" width="88.140625" style="25" customWidth="1"/>
    <col min="10759" max="10759" width="15.7109375" style="25" customWidth="1"/>
    <col min="10760" max="10760" width="86.42578125" style="25" customWidth="1"/>
    <col min="10761" max="10761" width="15.5703125" style="25" customWidth="1"/>
    <col min="10762" max="10762" width="85.7109375" style="25" customWidth="1"/>
    <col min="10763" max="10763" width="14.5703125" style="25" customWidth="1"/>
    <col min="10764" max="10764" width="35.140625" style="25" customWidth="1"/>
    <col min="10765" max="10765" width="13.140625" style="25" customWidth="1"/>
    <col min="10766" max="10766" width="17.85546875" style="25" customWidth="1"/>
    <col min="10767" max="10767" width="15" style="25" customWidth="1"/>
    <col min="10768" max="11007" width="10.7109375" style="25"/>
    <col min="11008" max="11008" width="6.42578125" style="25" customWidth="1"/>
    <col min="11009" max="11009" width="0" style="25" hidden="1" customWidth="1"/>
    <col min="11010" max="11010" width="90.7109375" style="25" customWidth="1"/>
    <col min="11011" max="11011" width="15.85546875" style="25" customWidth="1"/>
    <col min="11012" max="11012" width="91.42578125" style="25" customWidth="1"/>
    <col min="11013" max="11013" width="15.7109375" style="25" customWidth="1"/>
    <col min="11014" max="11014" width="88.140625" style="25" customWidth="1"/>
    <col min="11015" max="11015" width="15.7109375" style="25" customWidth="1"/>
    <col min="11016" max="11016" width="86.42578125" style="25" customWidth="1"/>
    <col min="11017" max="11017" width="15.5703125" style="25" customWidth="1"/>
    <col min="11018" max="11018" width="85.7109375" style="25" customWidth="1"/>
    <col min="11019" max="11019" width="14.5703125" style="25" customWidth="1"/>
    <col min="11020" max="11020" width="35.140625" style="25" customWidth="1"/>
    <col min="11021" max="11021" width="13.140625" style="25" customWidth="1"/>
    <col min="11022" max="11022" width="17.85546875" style="25" customWidth="1"/>
    <col min="11023" max="11023" width="15" style="25" customWidth="1"/>
    <col min="11024" max="11263" width="10.7109375" style="25"/>
    <col min="11264" max="11264" width="6.42578125" style="25" customWidth="1"/>
    <col min="11265" max="11265" width="0" style="25" hidden="1" customWidth="1"/>
    <col min="11266" max="11266" width="90.7109375" style="25" customWidth="1"/>
    <col min="11267" max="11267" width="15.85546875" style="25" customWidth="1"/>
    <col min="11268" max="11268" width="91.42578125" style="25" customWidth="1"/>
    <col min="11269" max="11269" width="15.7109375" style="25" customWidth="1"/>
    <col min="11270" max="11270" width="88.140625" style="25" customWidth="1"/>
    <col min="11271" max="11271" width="15.7109375" style="25" customWidth="1"/>
    <col min="11272" max="11272" width="86.42578125" style="25" customWidth="1"/>
    <col min="11273" max="11273" width="15.5703125" style="25" customWidth="1"/>
    <col min="11274" max="11274" width="85.7109375" style="25" customWidth="1"/>
    <col min="11275" max="11275" width="14.5703125" style="25" customWidth="1"/>
    <col min="11276" max="11276" width="35.140625" style="25" customWidth="1"/>
    <col min="11277" max="11277" width="13.140625" style="25" customWidth="1"/>
    <col min="11278" max="11278" width="17.85546875" style="25" customWidth="1"/>
    <col min="11279" max="11279" width="15" style="25" customWidth="1"/>
    <col min="11280" max="11519" width="10.7109375" style="25"/>
    <col min="11520" max="11520" width="6.42578125" style="25" customWidth="1"/>
    <col min="11521" max="11521" width="0" style="25" hidden="1" customWidth="1"/>
    <col min="11522" max="11522" width="90.7109375" style="25" customWidth="1"/>
    <col min="11523" max="11523" width="15.85546875" style="25" customWidth="1"/>
    <col min="11524" max="11524" width="91.42578125" style="25" customWidth="1"/>
    <col min="11525" max="11525" width="15.7109375" style="25" customWidth="1"/>
    <col min="11526" max="11526" width="88.140625" style="25" customWidth="1"/>
    <col min="11527" max="11527" width="15.7109375" style="25" customWidth="1"/>
    <col min="11528" max="11528" width="86.42578125" style="25" customWidth="1"/>
    <col min="11529" max="11529" width="15.5703125" style="25" customWidth="1"/>
    <col min="11530" max="11530" width="85.7109375" style="25" customWidth="1"/>
    <col min="11531" max="11531" width="14.5703125" style="25" customWidth="1"/>
    <col min="11532" max="11532" width="35.140625" style="25" customWidth="1"/>
    <col min="11533" max="11533" width="13.140625" style="25" customWidth="1"/>
    <col min="11534" max="11534" width="17.85546875" style="25" customWidth="1"/>
    <col min="11535" max="11535" width="15" style="25" customWidth="1"/>
    <col min="11536" max="11775" width="10.7109375" style="25"/>
    <col min="11776" max="11776" width="6.42578125" style="25" customWidth="1"/>
    <col min="11777" max="11777" width="0" style="25" hidden="1" customWidth="1"/>
    <col min="11778" max="11778" width="90.7109375" style="25" customWidth="1"/>
    <col min="11779" max="11779" width="15.85546875" style="25" customWidth="1"/>
    <col min="11780" max="11780" width="91.42578125" style="25" customWidth="1"/>
    <col min="11781" max="11781" width="15.7109375" style="25" customWidth="1"/>
    <col min="11782" max="11782" width="88.140625" style="25" customWidth="1"/>
    <col min="11783" max="11783" width="15.7109375" style="25" customWidth="1"/>
    <col min="11784" max="11784" width="86.42578125" style="25" customWidth="1"/>
    <col min="11785" max="11785" width="15.5703125" style="25" customWidth="1"/>
    <col min="11786" max="11786" width="85.7109375" style="25" customWidth="1"/>
    <col min="11787" max="11787" width="14.5703125" style="25" customWidth="1"/>
    <col min="11788" max="11788" width="35.140625" style="25" customWidth="1"/>
    <col min="11789" max="11789" width="13.140625" style="25" customWidth="1"/>
    <col min="11790" max="11790" width="17.85546875" style="25" customWidth="1"/>
    <col min="11791" max="11791" width="15" style="25" customWidth="1"/>
    <col min="11792" max="12031" width="10.7109375" style="25"/>
    <col min="12032" max="12032" width="6.42578125" style="25" customWidth="1"/>
    <col min="12033" max="12033" width="0" style="25" hidden="1" customWidth="1"/>
    <col min="12034" max="12034" width="90.7109375" style="25" customWidth="1"/>
    <col min="12035" max="12035" width="15.85546875" style="25" customWidth="1"/>
    <col min="12036" max="12036" width="91.42578125" style="25" customWidth="1"/>
    <col min="12037" max="12037" width="15.7109375" style="25" customWidth="1"/>
    <col min="12038" max="12038" width="88.140625" style="25" customWidth="1"/>
    <col min="12039" max="12039" width="15.7109375" style="25" customWidth="1"/>
    <col min="12040" max="12040" width="86.42578125" style="25" customWidth="1"/>
    <col min="12041" max="12041" width="15.5703125" style="25" customWidth="1"/>
    <col min="12042" max="12042" width="85.7109375" style="25" customWidth="1"/>
    <col min="12043" max="12043" width="14.5703125" style="25" customWidth="1"/>
    <col min="12044" max="12044" width="35.140625" style="25" customWidth="1"/>
    <col min="12045" max="12045" width="13.140625" style="25" customWidth="1"/>
    <col min="12046" max="12046" width="17.85546875" style="25" customWidth="1"/>
    <col min="12047" max="12047" width="15" style="25" customWidth="1"/>
    <col min="12048" max="12287" width="10.7109375" style="25"/>
    <col min="12288" max="12288" width="6.42578125" style="25" customWidth="1"/>
    <col min="12289" max="12289" width="0" style="25" hidden="1" customWidth="1"/>
    <col min="12290" max="12290" width="90.7109375" style="25" customWidth="1"/>
    <col min="12291" max="12291" width="15.85546875" style="25" customWidth="1"/>
    <col min="12292" max="12292" width="91.42578125" style="25" customWidth="1"/>
    <col min="12293" max="12293" width="15.7109375" style="25" customWidth="1"/>
    <col min="12294" max="12294" width="88.140625" style="25" customWidth="1"/>
    <col min="12295" max="12295" width="15.7109375" style="25" customWidth="1"/>
    <col min="12296" max="12296" width="86.42578125" style="25" customWidth="1"/>
    <col min="12297" max="12297" width="15.5703125" style="25" customWidth="1"/>
    <col min="12298" max="12298" width="85.7109375" style="25" customWidth="1"/>
    <col min="12299" max="12299" width="14.5703125" style="25" customWidth="1"/>
    <col min="12300" max="12300" width="35.140625" style="25" customWidth="1"/>
    <col min="12301" max="12301" width="13.140625" style="25" customWidth="1"/>
    <col min="12302" max="12302" width="17.85546875" style="25" customWidth="1"/>
    <col min="12303" max="12303" width="15" style="25" customWidth="1"/>
    <col min="12304" max="12543" width="10.7109375" style="25"/>
    <col min="12544" max="12544" width="6.42578125" style="25" customWidth="1"/>
    <col min="12545" max="12545" width="0" style="25" hidden="1" customWidth="1"/>
    <col min="12546" max="12546" width="90.7109375" style="25" customWidth="1"/>
    <col min="12547" max="12547" width="15.85546875" style="25" customWidth="1"/>
    <col min="12548" max="12548" width="91.42578125" style="25" customWidth="1"/>
    <col min="12549" max="12549" width="15.7109375" style="25" customWidth="1"/>
    <col min="12550" max="12550" width="88.140625" style="25" customWidth="1"/>
    <col min="12551" max="12551" width="15.7109375" style="25" customWidth="1"/>
    <col min="12552" max="12552" width="86.42578125" style="25" customWidth="1"/>
    <col min="12553" max="12553" width="15.5703125" style="25" customWidth="1"/>
    <col min="12554" max="12554" width="85.7109375" style="25" customWidth="1"/>
    <col min="12555" max="12555" width="14.5703125" style="25" customWidth="1"/>
    <col min="12556" max="12556" width="35.140625" style="25" customWidth="1"/>
    <col min="12557" max="12557" width="13.140625" style="25" customWidth="1"/>
    <col min="12558" max="12558" width="17.85546875" style="25" customWidth="1"/>
    <col min="12559" max="12559" width="15" style="25" customWidth="1"/>
    <col min="12560" max="12799" width="10.7109375" style="25"/>
    <col min="12800" max="12800" width="6.42578125" style="25" customWidth="1"/>
    <col min="12801" max="12801" width="0" style="25" hidden="1" customWidth="1"/>
    <col min="12802" max="12802" width="90.7109375" style="25" customWidth="1"/>
    <col min="12803" max="12803" width="15.85546875" style="25" customWidth="1"/>
    <col min="12804" max="12804" width="91.42578125" style="25" customWidth="1"/>
    <col min="12805" max="12805" width="15.7109375" style="25" customWidth="1"/>
    <col min="12806" max="12806" width="88.140625" style="25" customWidth="1"/>
    <col min="12807" max="12807" width="15.7109375" style="25" customWidth="1"/>
    <col min="12808" max="12808" width="86.42578125" style="25" customWidth="1"/>
    <col min="12809" max="12809" width="15.5703125" style="25" customWidth="1"/>
    <col min="12810" max="12810" width="85.7109375" style="25" customWidth="1"/>
    <col min="12811" max="12811" width="14.5703125" style="25" customWidth="1"/>
    <col min="12812" max="12812" width="35.140625" style="25" customWidth="1"/>
    <col min="12813" max="12813" width="13.140625" style="25" customWidth="1"/>
    <col min="12814" max="12814" width="17.85546875" style="25" customWidth="1"/>
    <col min="12815" max="12815" width="15" style="25" customWidth="1"/>
    <col min="12816" max="13055" width="10.7109375" style="25"/>
    <col min="13056" max="13056" width="6.42578125" style="25" customWidth="1"/>
    <col min="13057" max="13057" width="0" style="25" hidden="1" customWidth="1"/>
    <col min="13058" max="13058" width="90.7109375" style="25" customWidth="1"/>
    <col min="13059" max="13059" width="15.85546875" style="25" customWidth="1"/>
    <col min="13060" max="13060" width="91.42578125" style="25" customWidth="1"/>
    <col min="13061" max="13061" width="15.7109375" style="25" customWidth="1"/>
    <col min="13062" max="13062" width="88.140625" style="25" customWidth="1"/>
    <col min="13063" max="13063" width="15.7109375" style="25" customWidth="1"/>
    <col min="13064" max="13064" width="86.42578125" style="25" customWidth="1"/>
    <col min="13065" max="13065" width="15.5703125" style="25" customWidth="1"/>
    <col min="13066" max="13066" width="85.7109375" style="25" customWidth="1"/>
    <col min="13067" max="13067" width="14.5703125" style="25" customWidth="1"/>
    <col min="13068" max="13068" width="35.140625" style="25" customWidth="1"/>
    <col min="13069" max="13069" width="13.140625" style="25" customWidth="1"/>
    <col min="13070" max="13070" width="17.85546875" style="25" customWidth="1"/>
    <col min="13071" max="13071" width="15" style="25" customWidth="1"/>
    <col min="13072" max="13311" width="10.7109375" style="25"/>
    <col min="13312" max="13312" width="6.42578125" style="25" customWidth="1"/>
    <col min="13313" max="13313" width="0" style="25" hidden="1" customWidth="1"/>
    <col min="13314" max="13314" width="90.7109375" style="25" customWidth="1"/>
    <col min="13315" max="13315" width="15.85546875" style="25" customWidth="1"/>
    <col min="13316" max="13316" width="91.42578125" style="25" customWidth="1"/>
    <col min="13317" max="13317" width="15.7109375" style="25" customWidth="1"/>
    <col min="13318" max="13318" width="88.140625" style="25" customWidth="1"/>
    <col min="13319" max="13319" width="15.7109375" style="25" customWidth="1"/>
    <col min="13320" max="13320" width="86.42578125" style="25" customWidth="1"/>
    <col min="13321" max="13321" width="15.5703125" style="25" customWidth="1"/>
    <col min="13322" max="13322" width="85.7109375" style="25" customWidth="1"/>
    <col min="13323" max="13323" width="14.5703125" style="25" customWidth="1"/>
    <col min="13324" max="13324" width="35.140625" style="25" customWidth="1"/>
    <col min="13325" max="13325" width="13.140625" style="25" customWidth="1"/>
    <col min="13326" max="13326" width="17.85546875" style="25" customWidth="1"/>
    <col min="13327" max="13327" width="15" style="25" customWidth="1"/>
    <col min="13328" max="13567" width="10.7109375" style="25"/>
    <col min="13568" max="13568" width="6.42578125" style="25" customWidth="1"/>
    <col min="13569" max="13569" width="0" style="25" hidden="1" customWidth="1"/>
    <col min="13570" max="13570" width="90.7109375" style="25" customWidth="1"/>
    <col min="13571" max="13571" width="15.85546875" style="25" customWidth="1"/>
    <col min="13572" max="13572" width="91.42578125" style="25" customWidth="1"/>
    <col min="13573" max="13573" width="15.7109375" style="25" customWidth="1"/>
    <col min="13574" max="13574" width="88.140625" style="25" customWidth="1"/>
    <col min="13575" max="13575" width="15.7109375" style="25" customWidth="1"/>
    <col min="13576" max="13576" width="86.42578125" style="25" customWidth="1"/>
    <col min="13577" max="13577" width="15.5703125" style="25" customWidth="1"/>
    <col min="13578" max="13578" width="85.7109375" style="25" customWidth="1"/>
    <col min="13579" max="13579" width="14.5703125" style="25" customWidth="1"/>
    <col min="13580" max="13580" width="35.140625" style="25" customWidth="1"/>
    <col min="13581" max="13581" width="13.140625" style="25" customWidth="1"/>
    <col min="13582" max="13582" width="17.85546875" style="25" customWidth="1"/>
    <col min="13583" max="13583" width="15" style="25" customWidth="1"/>
    <col min="13584" max="13823" width="10.7109375" style="25"/>
    <col min="13824" max="13824" width="6.42578125" style="25" customWidth="1"/>
    <col min="13825" max="13825" width="0" style="25" hidden="1" customWidth="1"/>
    <col min="13826" max="13826" width="90.7109375" style="25" customWidth="1"/>
    <col min="13827" max="13827" width="15.85546875" style="25" customWidth="1"/>
    <col min="13828" max="13828" width="91.42578125" style="25" customWidth="1"/>
    <col min="13829" max="13829" width="15.7109375" style="25" customWidth="1"/>
    <col min="13830" max="13830" width="88.140625" style="25" customWidth="1"/>
    <col min="13831" max="13831" width="15.7109375" style="25" customWidth="1"/>
    <col min="13832" max="13832" width="86.42578125" style="25" customWidth="1"/>
    <col min="13833" max="13833" width="15.5703125" style="25" customWidth="1"/>
    <col min="13834" max="13834" width="85.7109375" style="25" customWidth="1"/>
    <col min="13835" max="13835" width="14.5703125" style="25" customWidth="1"/>
    <col min="13836" max="13836" width="35.140625" style="25" customWidth="1"/>
    <col min="13837" max="13837" width="13.140625" style="25" customWidth="1"/>
    <col min="13838" max="13838" width="17.85546875" style="25" customWidth="1"/>
    <col min="13839" max="13839" width="15" style="25" customWidth="1"/>
    <col min="13840" max="14079" width="10.7109375" style="25"/>
    <col min="14080" max="14080" width="6.42578125" style="25" customWidth="1"/>
    <col min="14081" max="14081" width="0" style="25" hidden="1" customWidth="1"/>
    <col min="14082" max="14082" width="90.7109375" style="25" customWidth="1"/>
    <col min="14083" max="14083" width="15.85546875" style="25" customWidth="1"/>
    <col min="14084" max="14084" width="91.42578125" style="25" customWidth="1"/>
    <col min="14085" max="14085" width="15.7109375" style="25" customWidth="1"/>
    <col min="14086" max="14086" width="88.140625" style="25" customWidth="1"/>
    <col min="14087" max="14087" width="15.7109375" style="25" customWidth="1"/>
    <col min="14088" max="14088" width="86.42578125" style="25" customWidth="1"/>
    <col min="14089" max="14089" width="15.5703125" style="25" customWidth="1"/>
    <col min="14090" max="14090" width="85.7109375" style="25" customWidth="1"/>
    <col min="14091" max="14091" width="14.5703125" style="25" customWidth="1"/>
    <col min="14092" max="14092" width="35.140625" style="25" customWidth="1"/>
    <col min="14093" max="14093" width="13.140625" style="25" customWidth="1"/>
    <col min="14094" max="14094" width="17.85546875" style="25" customWidth="1"/>
    <col min="14095" max="14095" width="15" style="25" customWidth="1"/>
    <col min="14096" max="14335" width="10.7109375" style="25"/>
    <col min="14336" max="14336" width="6.42578125" style="25" customWidth="1"/>
    <col min="14337" max="14337" width="0" style="25" hidden="1" customWidth="1"/>
    <col min="14338" max="14338" width="90.7109375" style="25" customWidth="1"/>
    <col min="14339" max="14339" width="15.85546875" style="25" customWidth="1"/>
    <col min="14340" max="14340" width="91.42578125" style="25" customWidth="1"/>
    <col min="14341" max="14341" width="15.7109375" style="25" customWidth="1"/>
    <col min="14342" max="14342" width="88.140625" style="25" customWidth="1"/>
    <col min="14343" max="14343" width="15.7109375" style="25" customWidth="1"/>
    <col min="14344" max="14344" width="86.42578125" style="25" customWidth="1"/>
    <col min="14345" max="14345" width="15.5703125" style="25" customWidth="1"/>
    <col min="14346" max="14346" width="85.7109375" style="25" customWidth="1"/>
    <col min="14347" max="14347" width="14.5703125" style="25" customWidth="1"/>
    <col min="14348" max="14348" width="35.140625" style="25" customWidth="1"/>
    <col min="14349" max="14349" width="13.140625" style="25" customWidth="1"/>
    <col min="14350" max="14350" width="17.85546875" style="25" customWidth="1"/>
    <col min="14351" max="14351" width="15" style="25" customWidth="1"/>
    <col min="14352" max="14591" width="10.7109375" style="25"/>
    <col min="14592" max="14592" width="6.42578125" style="25" customWidth="1"/>
    <col min="14593" max="14593" width="0" style="25" hidden="1" customWidth="1"/>
    <col min="14594" max="14594" width="90.7109375" style="25" customWidth="1"/>
    <col min="14595" max="14595" width="15.85546875" style="25" customWidth="1"/>
    <col min="14596" max="14596" width="91.42578125" style="25" customWidth="1"/>
    <col min="14597" max="14597" width="15.7109375" style="25" customWidth="1"/>
    <col min="14598" max="14598" width="88.140625" style="25" customWidth="1"/>
    <col min="14599" max="14599" width="15.7109375" style="25" customWidth="1"/>
    <col min="14600" max="14600" width="86.42578125" style="25" customWidth="1"/>
    <col min="14601" max="14601" width="15.5703125" style="25" customWidth="1"/>
    <col min="14602" max="14602" width="85.7109375" style="25" customWidth="1"/>
    <col min="14603" max="14603" width="14.5703125" style="25" customWidth="1"/>
    <col min="14604" max="14604" width="35.140625" style="25" customWidth="1"/>
    <col min="14605" max="14605" width="13.140625" style="25" customWidth="1"/>
    <col min="14606" max="14606" width="17.85546875" style="25" customWidth="1"/>
    <col min="14607" max="14607" width="15" style="25" customWidth="1"/>
    <col min="14608" max="14847" width="10.7109375" style="25"/>
    <col min="14848" max="14848" width="6.42578125" style="25" customWidth="1"/>
    <col min="14849" max="14849" width="0" style="25" hidden="1" customWidth="1"/>
    <col min="14850" max="14850" width="90.7109375" style="25" customWidth="1"/>
    <col min="14851" max="14851" width="15.85546875" style="25" customWidth="1"/>
    <col min="14852" max="14852" width="91.42578125" style="25" customWidth="1"/>
    <col min="14853" max="14853" width="15.7109375" style="25" customWidth="1"/>
    <col min="14854" max="14854" width="88.140625" style="25" customWidth="1"/>
    <col min="14855" max="14855" width="15.7109375" style="25" customWidth="1"/>
    <col min="14856" max="14856" width="86.42578125" style="25" customWidth="1"/>
    <col min="14857" max="14857" width="15.5703125" style="25" customWidth="1"/>
    <col min="14858" max="14858" width="85.7109375" style="25" customWidth="1"/>
    <col min="14859" max="14859" width="14.5703125" style="25" customWidth="1"/>
    <col min="14860" max="14860" width="35.140625" style="25" customWidth="1"/>
    <col min="14861" max="14861" width="13.140625" style="25" customWidth="1"/>
    <col min="14862" max="14862" width="17.85546875" style="25" customWidth="1"/>
    <col min="14863" max="14863" width="15" style="25" customWidth="1"/>
    <col min="14864" max="15103" width="10.7109375" style="25"/>
    <col min="15104" max="15104" width="6.42578125" style="25" customWidth="1"/>
    <col min="15105" max="15105" width="0" style="25" hidden="1" customWidth="1"/>
    <col min="15106" max="15106" width="90.7109375" style="25" customWidth="1"/>
    <col min="15107" max="15107" width="15.85546875" style="25" customWidth="1"/>
    <col min="15108" max="15108" width="91.42578125" style="25" customWidth="1"/>
    <col min="15109" max="15109" width="15.7109375" style="25" customWidth="1"/>
    <col min="15110" max="15110" width="88.140625" style="25" customWidth="1"/>
    <col min="15111" max="15111" width="15.7109375" style="25" customWidth="1"/>
    <col min="15112" max="15112" width="86.42578125" style="25" customWidth="1"/>
    <col min="15113" max="15113" width="15.5703125" style="25" customWidth="1"/>
    <col min="15114" max="15114" width="85.7109375" style="25" customWidth="1"/>
    <col min="15115" max="15115" width="14.5703125" style="25" customWidth="1"/>
    <col min="15116" max="15116" width="35.140625" style="25" customWidth="1"/>
    <col min="15117" max="15117" width="13.140625" style="25" customWidth="1"/>
    <col min="15118" max="15118" width="17.85546875" style="25" customWidth="1"/>
    <col min="15119" max="15119" width="15" style="25" customWidth="1"/>
    <col min="15120" max="15359" width="10.7109375" style="25"/>
    <col min="15360" max="15360" width="6.42578125" style="25" customWidth="1"/>
    <col min="15361" max="15361" width="0" style="25" hidden="1" customWidth="1"/>
    <col min="15362" max="15362" width="90.7109375" style="25" customWidth="1"/>
    <col min="15363" max="15363" width="15.85546875" style="25" customWidth="1"/>
    <col min="15364" max="15364" width="91.42578125" style="25" customWidth="1"/>
    <col min="15365" max="15365" width="15.7109375" style="25" customWidth="1"/>
    <col min="15366" max="15366" width="88.140625" style="25" customWidth="1"/>
    <col min="15367" max="15367" width="15.7109375" style="25" customWidth="1"/>
    <col min="15368" max="15368" width="86.42578125" style="25" customWidth="1"/>
    <col min="15369" max="15369" width="15.5703125" style="25" customWidth="1"/>
    <col min="15370" max="15370" width="85.7109375" style="25" customWidth="1"/>
    <col min="15371" max="15371" width="14.5703125" style="25" customWidth="1"/>
    <col min="15372" max="15372" width="35.140625" style="25" customWidth="1"/>
    <col min="15373" max="15373" width="13.140625" style="25" customWidth="1"/>
    <col min="15374" max="15374" width="17.85546875" style="25" customWidth="1"/>
    <col min="15375" max="15375" width="15" style="25" customWidth="1"/>
    <col min="15376" max="15615" width="10.7109375" style="25"/>
    <col min="15616" max="15616" width="6.42578125" style="25" customWidth="1"/>
    <col min="15617" max="15617" width="0" style="25" hidden="1" customWidth="1"/>
    <col min="15618" max="15618" width="90.7109375" style="25" customWidth="1"/>
    <col min="15619" max="15619" width="15.85546875" style="25" customWidth="1"/>
    <col min="15620" max="15620" width="91.42578125" style="25" customWidth="1"/>
    <col min="15621" max="15621" width="15.7109375" style="25" customWidth="1"/>
    <col min="15622" max="15622" width="88.140625" style="25" customWidth="1"/>
    <col min="15623" max="15623" width="15.7109375" style="25" customWidth="1"/>
    <col min="15624" max="15624" width="86.42578125" style="25" customWidth="1"/>
    <col min="15625" max="15625" width="15.5703125" style="25" customWidth="1"/>
    <col min="15626" max="15626" width="85.7109375" style="25" customWidth="1"/>
    <col min="15627" max="15627" width="14.5703125" style="25" customWidth="1"/>
    <col min="15628" max="15628" width="35.140625" style="25" customWidth="1"/>
    <col min="15629" max="15629" width="13.140625" style="25" customWidth="1"/>
    <col min="15630" max="15630" width="17.85546875" style="25" customWidth="1"/>
    <col min="15631" max="15631" width="15" style="25" customWidth="1"/>
    <col min="15632" max="15871" width="10.7109375" style="25"/>
    <col min="15872" max="15872" width="6.42578125" style="25" customWidth="1"/>
    <col min="15873" max="15873" width="0" style="25" hidden="1" customWidth="1"/>
    <col min="15874" max="15874" width="90.7109375" style="25" customWidth="1"/>
    <col min="15875" max="15875" width="15.85546875" style="25" customWidth="1"/>
    <col min="15876" max="15876" width="91.42578125" style="25" customWidth="1"/>
    <col min="15877" max="15877" width="15.7109375" style="25" customWidth="1"/>
    <col min="15878" max="15878" width="88.140625" style="25" customWidth="1"/>
    <col min="15879" max="15879" width="15.7109375" style="25" customWidth="1"/>
    <col min="15880" max="15880" width="86.42578125" style="25" customWidth="1"/>
    <col min="15881" max="15881" width="15.5703125" style="25" customWidth="1"/>
    <col min="15882" max="15882" width="85.7109375" style="25" customWidth="1"/>
    <col min="15883" max="15883" width="14.5703125" style="25" customWidth="1"/>
    <col min="15884" max="15884" width="35.140625" style="25" customWidth="1"/>
    <col min="15885" max="15885" width="13.140625" style="25" customWidth="1"/>
    <col min="15886" max="15886" width="17.85546875" style="25" customWidth="1"/>
    <col min="15887" max="15887" width="15" style="25" customWidth="1"/>
    <col min="15888" max="16127" width="10.7109375" style="25"/>
    <col min="16128" max="16128" width="6.42578125" style="25" customWidth="1"/>
    <col min="16129" max="16129" width="0" style="25" hidden="1" customWidth="1"/>
    <col min="16130" max="16130" width="90.7109375" style="25" customWidth="1"/>
    <col min="16131" max="16131" width="15.85546875" style="25" customWidth="1"/>
    <col min="16132" max="16132" width="91.42578125" style="25" customWidth="1"/>
    <col min="16133" max="16133" width="15.7109375" style="25" customWidth="1"/>
    <col min="16134" max="16134" width="88.140625" style="25" customWidth="1"/>
    <col min="16135" max="16135" width="15.7109375" style="25" customWidth="1"/>
    <col min="16136" max="16136" width="86.42578125" style="25" customWidth="1"/>
    <col min="16137" max="16137" width="15.5703125" style="25" customWidth="1"/>
    <col min="16138" max="16138" width="85.7109375" style="25" customWidth="1"/>
    <col min="16139" max="16139" width="14.5703125" style="25" customWidth="1"/>
    <col min="16140" max="16140" width="35.140625" style="25" customWidth="1"/>
    <col min="16141" max="16141" width="13.140625" style="25" customWidth="1"/>
    <col min="16142" max="16142" width="17.85546875" style="25" customWidth="1"/>
    <col min="16143" max="16143" width="15" style="25" customWidth="1"/>
    <col min="16144" max="16384" width="10.7109375" style="25"/>
  </cols>
  <sheetData>
    <row r="1" spans="1:15" s="24" customFormat="1" x14ac:dyDescent="0.2">
      <c r="A1" s="495" t="s">
        <v>262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</row>
    <row r="3" spans="1:15" x14ac:dyDescent="0.2">
      <c r="A3" s="496" t="s">
        <v>263</v>
      </c>
      <c r="B3" s="497"/>
      <c r="C3" s="498" t="s">
        <v>264</v>
      </c>
      <c r="D3" s="500" t="s">
        <v>265</v>
      </c>
      <c r="E3" s="490" t="s">
        <v>264</v>
      </c>
      <c r="F3" s="500" t="s">
        <v>266</v>
      </c>
      <c r="G3" s="490" t="s">
        <v>264</v>
      </c>
      <c r="H3" s="497" t="s">
        <v>267</v>
      </c>
      <c r="I3" s="490" t="s">
        <v>264</v>
      </c>
      <c r="J3" s="503" t="s">
        <v>268</v>
      </c>
      <c r="K3" s="490" t="s">
        <v>264</v>
      </c>
      <c r="L3" s="492" t="s">
        <v>17</v>
      </c>
    </row>
    <row r="4" spans="1:15" x14ac:dyDescent="0.2">
      <c r="A4" s="496"/>
      <c r="B4" s="497"/>
      <c r="C4" s="499"/>
      <c r="D4" s="501"/>
      <c r="E4" s="491"/>
      <c r="F4" s="501"/>
      <c r="G4" s="491"/>
      <c r="H4" s="502"/>
      <c r="I4" s="491"/>
      <c r="J4" s="504"/>
      <c r="K4" s="491"/>
      <c r="L4" s="493"/>
    </row>
    <row r="5" spans="1:15" ht="33" customHeight="1" x14ac:dyDescent="0.2">
      <c r="A5" s="494" t="s">
        <v>269</v>
      </c>
      <c r="B5" s="494"/>
      <c r="C5" s="29"/>
      <c r="D5" s="28" t="s">
        <v>270</v>
      </c>
      <c r="E5" s="31"/>
      <c r="F5" s="28" t="s">
        <v>271</v>
      </c>
      <c r="G5" s="31"/>
      <c r="H5" s="28" t="s">
        <v>272</v>
      </c>
      <c r="I5" s="31"/>
      <c r="J5" s="30" t="s">
        <v>273</v>
      </c>
      <c r="K5" s="32"/>
      <c r="L5" s="33"/>
      <c r="N5" s="34"/>
    </row>
    <row r="6" spans="1:15" s="39" customFormat="1" ht="33" customHeight="1" x14ac:dyDescent="0.15">
      <c r="A6" s="35">
        <v>1</v>
      </c>
      <c r="B6" s="52" t="s">
        <v>103</v>
      </c>
      <c r="C6" s="36">
        <f>VLOOKUP(B6,'[1]ใส่ยอดขาย '!$B$6:$AA$86,26,0)</f>
        <v>2.8797645228712639E-2</v>
      </c>
      <c r="D6" s="53" t="s">
        <v>114</v>
      </c>
      <c r="E6" s="36">
        <f>VLOOKUP(D6,'[1]ใส่ยอดขาย '!$B$6:$AA$85,26,0)</f>
        <v>1.5958011515793256E-2</v>
      </c>
      <c r="F6" s="52" t="s">
        <v>2</v>
      </c>
      <c r="G6" s="37">
        <f>VLOOKUP(F6,'[1]ใส่ยอดขาย '!$B$6:$AA$84,26,0)</f>
        <v>2.7359316251012039E-2</v>
      </c>
      <c r="H6" s="53" t="s">
        <v>82</v>
      </c>
      <c r="I6" s="36">
        <f>VLOOKUP(H6,'[1]ใส่ยอดขาย '!$B$6:$AA$82,26,0)</f>
        <v>2.7799586923100573E-2</v>
      </c>
      <c r="J6" s="53" t="s">
        <v>252</v>
      </c>
      <c r="K6" s="36">
        <f>VLOOKUP(J6,'[1]ใส่ยอดขาย '!$B$6:$AA$83,26,0)</f>
        <v>1.7234224883317661E-2</v>
      </c>
      <c r="L6" s="38"/>
      <c r="M6" s="39">
        <v>2</v>
      </c>
      <c r="N6" s="40">
        <v>60000</v>
      </c>
      <c r="O6" s="41"/>
    </row>
    <row r="7" spans="1:15" s="39" customFormat="1" ht="33" customHeight="1" x14ac:dyDescent="0.15">
      <c r="A7" s="35">
        <v>2</v>
      </c>
      <c r="B7" s="53" t="s">
        <v>44</v>
      </c>
      <c r="C7" s="36">
        <f>VLOOKUP(B7,'[1]ใส่ยอดขาย '!$B$6:$AA$86,26,0)</f>
        <v>1.3974630823116061E-2</v>
      </c>
      <c r="D7" s="28" t="s">
        <v>80</v>
      </c>
      <c r="E7" s="36">
        <f>VLOOKUP(D7,'[1]ใส่ยอดขาย '!$B$6:$AA$85,26,0)</f>
        <v>3.0278456390556267E-2</v>
      </c>
      <c r="F7" s="52" t="s">
        <v>4</v>
      </c>
      <c r="G7" s="37">
        <f>VLOOKUP(F7,'[1]ใส่ยอดขาย '!$B$6:$AA$84,26,0)</f>
        <v>1.8152468430863111E-2</v>
      </c>
      <c r="H7" s="52" t="s">
        <v>145</v>
      </c>
      <c r="I7" s="36">
        <f>VLOOKUP(H7,'[1]ใส่ยอดขาย '!$B$6:$AA$82,26,0)</f>
        <v>9.1367358350079968E-3</v>
      </c>
      <c r="J7" s="53" t="s">
        <v>183</v>
      </c>
      <c r="K7" s="36">
        <f>VLOOKUP(J7,'[1]ใส่ยอดขาย '!$B$6:$AA$83,26,0)</f>
        <v>6.0099731561924939E-3</v>
      </c>
      <c r="L7" s="38"/>
      <c r="M7" s="39">
        <v>3</v>
      </c>
      <c r="N7" s="40">
        <v>60000</v>
      </c>
    </row>
    <row r="8" spans="1:15" s="39" customFormat="1" ht="33" customHeight="1" x14ac:dyDescent="0.15">
      <c r="A8" s="35">
        <v>3</v>
      </c>
      <c r="B8" s="54" t="s">
        <v>87</v>
      </c>
      <c r="C8" s="36">
        <f>VLOOKUP(B8,'[1]ใส่ยอดขาย '!$B$6:$AA$86,26,0)</f>
        <v>2.3087710373657627E-2</v>
      </c>
      <c r="D8" s="53" t="s">
        <v>85</v>
      </c>
      <c r="E8" s="36">
        <f>VLOOKUP(D8,'[1]ใส่ยอดขาย '!$B$6:$AA$85,26,0)</f>
        <v>3.3865214512741264E-2</v>
      </c>
      <c r="F8" s="28" t="s">
        <v>172</v>
      </c>
      <c r="G8" s="37">
        <f>VLOOKUP(F8,'[1]ใส่ยอดขาย '!$B$6:$AA$84,26,0)</f>
        <v>2.229182593327389E-2</v>
      </c>
      <c r="H8" s="53" t="s">
        <v>154</v>
      </c>
      <c r="I8" s="36">
        <f>VLOOKUP(H8,'[1]ใส่ยอดขาย '!$B$6:$AA$82,26,0)</f>
        <v>6.5043021345812793E-3</v>
      </c>
      <c r="J8" s="57" t="s">
        <v>134</v>
      </c>
      <c r="K8" s="36">
        <f>VLOOKUP(J8,'[1]ใส่ยอดขาย '!$B$6:$AA$83,26,0)</f>
        <v>1.2190681513200257E-2</v>
      </c>
      <c r="L8" s="43"/>
      <c r="M8" s="39">
        <v>1</v>
      </c>
      <c r="N8" s="40">
        <v>50000</v>
      </c>
    </row>
    <row r="9" spans="1:15" s="39" customFormat="1" ht="33" customHeight="1" x14ac:dyDescent="0.15">
      <c r="A9" s="35">
        <v>4</v>
      </c>
      <c r="B9" s="28" t="s">
        <v>92</v>
      </c>
      <c r="C9" s="36">
        <f>VLOOKUP(B9,'[1]ใส่ยอดขาย '!$B$6:$AA$86,26,0)</f>
        <v>2.2282556634878908E-2</v>
      </c>
      <c r="D9" s="28" t="s">
        <v>90</v>
      </c>
      <c r="E9" s="36">
        <f>VLOOKUP(D9,'[1]ใส่ยอดขาย '!$B$6:$AA$85,26,0)</f>
        <v>2.0901898251234442E-2</v>
      </c>
      <c r="F9" s="54" t="s">
        <v>45</v>
      </c>
      <c r="G9" s="37">
        <f>VLOOKUP(F9,'[1]ใส่ยอดขาย '!$B$6:$AA$84,26,0)</f>
        <v>1.3118014584819815E-2</v>
      </c>
      <c r="H9" s="52" t="s">
        <v>148</v>
      </c>
      <c r="I9" s="36">
        <f>VLOOKUP(H9,'[1]ใส่ยอดขาย '!$B$6:$AA$82,26,0)</f>
        <v>8.2336302933604544E-3</v>
      </c>
      <c r="J9" s="52" t="s">
        <v>206</v>
      </c>
      <c r="K9" s="36">
        <f>VLOOKUP(J9,'[1]ใส่ยอดขาย '!$B$6:$AA$83,26,0)</f>
        <v>1.0326645431549151E-2</v>
      </c>
      <c r="L9" s="38"/>
      <c r="M9" s="39">
        <v>10</v>
      </c>
      <c r="N9" s="40">
        <v>50000</v>
      </c>
    </row>
    <row r="10" spans="1:15" s="39" customFormat="1" ht="33" customHeight="1" x14ac:dyDescent="0.15">
      <c r="A10" s="35">
        <v>5</v>
      </c>
      <c r="B10" s="28" t="s">
        <v>94</v>
      </c>
      <c r="C10" s="36">
        <f>VLOOKUP(B10,'[1]ใส่ยอดขาย '!$B$6:$AA$86,26,0)</f>
        <v>2.2286824174832371E-2</v>
      </c>
      <c r="D10" s="54" t="s">
        <v>109</v>
      </c>
      <c r="E10" s="36">
        <f>VLOOKUP(D10,'[1]ใส่ยอดขาย '!$B$6:$AA$85,26,0)</f>
        <v>1.8826319710050082E-2</v>
      </c>
      <c r="F10" s="54" t="s">
        <v>102</v>
      </c>
      <c r="G10" s="37">
        <f>VLOOKUP(F10,'[1]ใส่ยอดขาย '!$B$6:$AA$84,26,0)</f>
        <v>1.4567128341639026E-2</v>
      </c>
      <c r="H10" s="52" t="s">
        <v>243</v>
      </c>
      <c r="I10" s="36">
        <f>VLOOKUP(H10,'[1]ใส่ยอดขาย '!$B$6:$AA$82,26,0)</f>
        <v>7.8627239468540694E-3</v>
      </c>
      <c r="J10" s="53" t="s">
        <v>132</v>
      </c>
      <c r="K10" s="36">
        <f>VLOOKUP(J10,'[1]ใส่ยอดขาย '!$B$6:$AA$83,26,0)</f>
        <v>1.4216771712129019E-2</v>
      </c>
      <c r="L10" s="43"/>
      <c r="M10" s="39">
        <v>2</v>
      </c>
      <c r="N10" s="39" t="s">
        <v>274</v>
      </c>
    </row>
    <row r="11" spans="1:15" s="39" customFormat="1" ht="33" customHeight="1" x14ac:dyDescent="0.15">
      <c r="A11" s="35">
        <v>6</v>
      </c>
      <c r="B11" s="52" t="s">
        <v>7</v>
      </c>
      <c r="C11" s="36">
        <f>VLOOKUP(B11,'[1]ใส่ยอดขาย '!$B$6:$AA$86,26,0)</f>
        <v>2.7322672531962821E-3</v>
      </c>
      <c r="D11" s="53" t="s">
        <v>6</v>
      </c>
      <c r="E11" s="36">
        <f>VLOOKUP(D11,'[1]ใส่ยอดขาย '!$B$6:$AA$85,26,0)</f>
        <v>2.8810935087386605E-3</v>
      </c>
      <c r="F11" s="28" t="s">
        <v>46</v>
      </c>
      <c r="G11" s="37">
        <f>VLOOKUP(F11,'[1]ใส่ยอดขาย '!$B$6:$AA$84,26,0)</f>
        <v>1.2733751174285863E-2</v>
      </c>
      <c r="H11" s="28"/>
      <c r="I11" s="44">
        <f>SUM(I6:I10)</f>
        <v>5.9536979132904372E-2</v>
      </c>
      <c r="J11" s="54"/>
      <c r="K11" s="45">
        <f>SUM(K6:K10)</f>
        <v>5.9978296696388586E-2</v>
      </c>
      <c r="L11" s="43"/>
      <c r="M11" s="39">
        <v>3</v>
      </c>
      <c r="N11" s="39" t="s">
        <v>275</v>
      </c>
    </row>
    <row r="12" spans="1:15" s="39" customFormat="1" ht="33" customHeight="1" x14ac:dyDescent="0.15">
      <c r="A12" s="35">
        <v>7</v>
      </c>
      <c r="B12" s="54" t="s">
        <v>98</v>
      </c>
      <c r="C12" s="36">
        <f>VLOOKUP(B12,'[1]ใส่ยอดขาย '!$B$6:$AA$86,26,0)</f>
        <v>1.863622936739864E-2</v>
      </c>
      <c r="D12" s="54" t="s">
        <v>105</v>
      </c>
      <c r="E12" s="36">
        <f>VLOOKUP(D12,'[1]ใส่ยอดขาย '!$B$6:$AA$85,26,0)</f>
        <v>1.6472040567495554E-2</v>
      </c>
      <c r="F12" s="28" t="s">
        <v>107</v>
      </c>
      <c r="G12" s="37">
        <f>VLOOKUP(F12,'[1]ใส่ยอดขาย '!$B$6:$AA$84,26,0)</f>
        <v>1.6746666844303856E-2</v>
      </c>
      <c r="H12" s="28"/>
      <c r="I12" s="46"/>
      <c r="J12" s="54"/>
      <c r="K12" s="47"/>
      <c r="L12" s="43"/>
      <c r="M12" s="39">
        <v>15</v>
      </c>
      <c r="N12" s="40">
        <v>30000</v>
      </c>
    </row>
    <row r="13" spans="1:15" s="39" customFormat="1" ht="33" customHeight="1" x14ac:dyDescent="0.15">
      <c r="A13" s="35">
        <v>8</v>
      </c>
      <c r="B13" s="55" t="s">
        <v>121</v>
      </c>
      <c r="C13" s="36">
        <f>VLOOKUP(B13,'[1]ใส่ยอดขาย '!$B$6:$AA$86,26,0)</f>
        <v>1.0666245676202444E-2</v>
      </c>
      <c r="D13" s="28" t="s">
        <v>143</v>
      </c>
      <c r="E13" s="36">
        <f>VLOOKUP(D13,'[1]ใส่ยอดขาย '!$B$6:$AA$85,26,0)</f>
        <v>1.138343600779081E-2</v>
      </c>
      <c r="F13" s="54" t="s">
        <v>1</v>
      </c>
      <c r="G13" s="37">
        <f>VLOOKUP(F13,'[1]ใส่ยอดขาย '!$B$6:$AA$84,26,0)</f>
        <v>1.5594380652853986E-2</v>
      </c>
      <c r="H13" s="54"/>
      <c r="I13" s="47"/>
      <c r="J13" s="55"/>
      <c r="K13" s="46"/>
      <c r="L13" s="43"/>
      <c r="M13" s="39">
        <v>9</v>
      </c>
      <c r="N13" s="40">
        <v>20000</v>
      </c>
    </row>
    <row r="14" spans="1:15" s="39" customFormat="1" ht="33" customHeight="1" x14ac:dyDescent="0.15">
      <c r="A14" s="35">
        <v>9</v>
      </c>
      <c r="B14" s="52" t="s">
        <v>96</v>
      </c>
      <c r="C14" s="36">
        <f>VLOOKUP(B14,'[1]ใส่ยอดขาย '!$B$6:$AA$86,26,0)</f>
        <v>1.7710416816904231E-2</v>
      </c>
      <c r="D14" s="28" t="s">
        <v>118</v>
      </c>
      <c r="E14" s="36">
        <f>VLOOKUP(D14,'[1]ใส่ยอดขาย '!$B$6:$AA$85,26,0)</f>
        <v>1.6192441094521011E-2</v>
      </c>
      <c r="F14" s="28" t="s">
        <v>5</v>
      </c>
      <c r="G14" s="37">
        <f>VLOOKUP(F14,'[1]ใส่ยอดขาย '!$B$6:$AA$84,26,0)</f>
        <v>1.3744637301765913E-2</v>
      </c>
      <c r="H14" s="54"/>
      <c r="I14" s="47"/>
      <c r="J14" s="38"/>
      <c r="K14" s="46"/>
      <c r="L14" s="43"/>
      <c r="M14" s="39">
        <v>14</v>
      </c>
      <c r="N14" s="40">
        <v>20000</v>
      </c>
    </row>
    <row r="15" spans="1:15" s="39" customFormat="1" ht="33" customHeight="1" x14ac:dyDescent="0.15">
      <c r="A15" s="35">
        <v>10</v>
      </c>
      <c r="B15" s="54" t="s">
        <v>129</v>
      </c>
      <c r="C15" s="36">
        <f>VLOOKUP(B15,'[1]ใส่ยอดขาย '!$B$6:$AA$86,26,0)</f>
        <v>1.2321496733978419E-2</v>
      </c>
      <c r="D15" s="52" t="s">
        <v>136</v>
      </c>
      <c r="E15" s="36">
        <f>VLOOKUP(D15,'[1]ใส่ยอดขาย '!$B$6:$AA$85,26,0)</f>
        <v>9.4173433882865053E-3</v>
      </c>
      <c r="F15" s="53" t="s">
        <v>47</v>
      </c>
      <c r="G15" s="37">
        <f>VLOOKUP(F15,'[1]ใส่ยอดขาย '!$B$6:$AA$84,26,0)</f>
        <v>7.774936953716915E-3</v>
      </c>
      <c r="H15" s="28"/>
      <c r="I15" s="46"/>
      <c r="J15" s="42"/>
      <c r="K15" s="47"/>
      <c r="L15" s="43"/>
      <c r="M15" s="39">
        <v>11</v>
      </c>
      <c r="N15" s="40">
        <v>20000</v>
      </c>
    </row>
    <row r="16" spans="1:15" s="39" customFormat="1" ht="33" customHeight="1" x14ac:dyDescent="0.15">
      <c r="A16" s="35">
        <v>11</v>
      </c>
      <c r="B16" s="54" t="s">
        <v>138</v>
      </c>
      <c r="C16" s="36">
        <f>VLOOKUP(B16,'[1]ใส่ยอดขาย '!$B$6:$AA$86,26,0)</f>
        <v>1.0128787662142256E-2</v>
      </c>
      <c r="D16" s="54" t="s">
        <v>116</v>
      </c>
      <c r="E16" s="36">
        <f>VLOOKUP(D16,'[1]ใส่ยอดขาย '!$B$6:$AA$85,26,0)</f>
        <v>1.3508124861116777E-2</v>
      </c>
      <c r="F16" s="53" t="s">
        <v>100</v>
      </c>
      <c r="G16" s="37">
        <f>VLOOKUP(F16,'[1]ใส่ยอดขาย '!$B$6:$AA$84,26,0)</f>
        <v>2.0098844679755656E-2</v>
      </c>
      <c r="H16" s="28"/>
      <c r="I16" s="46"/>
      <c r="J16" s="42"/>
      <c r="K16" s="47"/>
      <c r="L16" s="48"/>
      <c r="M16" s="39">
        <v>13</v>
      </c>
      <c r="N16" s="40">
        <v>20000</v>
      </c>
    </row>
    <row r="17" spans="1:14" s="39" customFormat="1" ht="33" customHeight="1" x14ac:dyDescent="0.15">
      <c r="A17" s="35">
        <v>12</v>
      </c>
      <c r="B17" s="52" t="s">
        <v>125</v>
      </c>
      <c r="C17" s="36">
        <f>VLOOKUP(B17,'[1]ใส่ยอดขาย '!$B$6:$AA$86,26,0)</f>
        <v>1.1234903775670421E-2</v>
      </c>
      <c r="D17" s="53" t="s">
        <v>43</v>
      </c>
      <c r="E17" s="36">
        <f>VLOOKUP(D17,'[1]ใส่ยอดขาย '!$B$6:$AA$85,26,0)</f>
        <v>1.0556885764560387E-2</v>
      </c>
      <c r="F17" s="53" t="s">
        <v>88</v>
      </c>
      <c r="G17" s="37">
        <f>VLOOKUP(F17,'[1]ใส่ยอดขาย '!$B$6:$AA$84,26,0)</f>
        <v>1.6325055738641753E-2</v>
      </c>
      <c r="H17" s="28"/>
      <c r="I17" s="46"/>
      <c r="J17" s="42"/>
      <c r="K17" s="47"/>
      <c r="L17" s="43"/>
      <c r="M17" s="39">
        <v>8</v>
      </c>
      <c r="N17" s="39" t="s">
        <v>275</v>
      </c>
    </row>
    <row r="18" spans="1:14" s="39" customFormat="1" ht="33" customHeight="1" x14ac:dyDescent="0.15">
      <c r="A18" s="35">
        <v>13</v>
      </c>
      <c r="B18" s="54" t="s">
        <v>130</v>
      </c>
      <c r="C18" s="36">
        <f>VLOOKUP(B18,'[1]ใส่ยอดขาย '!$B$6:$AA$86,26,0)</f>
        <v>1.4672213992792262E-2</v>
      </c>
      <c r="D18" s="54" t="s">
        <v>161</v>
      </c>
      <c r="E18" s="36">
        <f>VLOOKUP(D18,'[1]ใส่ยอดขาย '!$B$6:$AA$85,26,0)</f>
        <v>5.622567895377845E-3</v>
      </c>
      <c r="F18" s="28" t="s">
        <v>174</v>
      </c>
      <c r="G18" s="37">
        <f>VLOOKUP(F18,'[1]ใส่ยอดขาย '!$B$6:$AA$84,26,0)</f>
        <v>1.7152301557281913E-2</v>
      </c>
      <c r="H18" s="28"/>
      <c r="I18" s="46"/>
      <c r="J18" s="42"/>
      <c r="K18" s="47"/>
      <c r="L18" s="43"/>
      <c r="M18" s="39">
        <v>4</v>
      </c>
      <c r="N18" s="40">
        <v>20000</v>
      </c>
    </row>
    <row r="19" spans="1:14" s="39" customFormat="1" ht="33" customHeight="1" x14ac:dyDescent="0.15">
      <c r="A19" s="35">
        <v>14</v>
      </c>
      <c r="B19" s="28" t="s">
        <v>151</v>
      </c>
      <c r="C19" s="36">
        <f>VLOOKUP(B19,'[1]ใส่ยอดขาย '!$B$6:$AA$86,26,0)</f>
        <v>1.1116229202019707E-2</v>
      </c>
      <c r="D19" s="54" t="s">
        <v>127</v>
      </c>
      <c r="E19" s="36">
        <f>VLOOKUP(D19,'[1]ใส่ยอดขาย '!$B$6:$AA$85,26,0)</f>
        <v>9.8041858042647711E-3</v>
      </c>
      <c r="F19" s="28" t="s">
        <v>3</v>
      </c>
      <c r="G19" s="37">
        <f>VLOOKUP(F19,'[1]ใส่ยอดขาย '!$B$6:$AA$84,26,0)</f>
        <v>1.7375717354648677E-2</v>
      </c>
      <c r="H19" s="38"/>
      <c r="I19" s="46"/>
      <c r="J19" s="38"/>
      <c r="K19" s="46"/>
      <c r="L19" s="38"/>
      <c r="M19" s="39">
        <v>6</v>
      </c>
      <c r="N19" s="40">
        <v>20000</v>
      </c>
    </row>
    <row r="20" spans="1:14" s="39" customFormat="1" ht="33" customHeight="1" x14ac:dyDescent="0.15">
      <c r="A20" s="35">
        <v>15</v>
      </c>
      <c r="B20" s="54" t="s">
        <v>123</v>
      </c>
      <c r="C20" s="36">
        <f>VLOOKUP(B20,'[1]ใส่ยอดขาย '!$B$6:$AA$86,26,0)</f>
        <v>1.3005563226912256E-2</v>
      </c>
      <c r="D20" s="54" t="s">
        <v>140</v>
      </c>
      <c r="E20" s="36">
        <f>VLOOKUP(D20,'[1]ใส่ยอดขาย '!$B$6:$AA$85,26,0)</f>
        <v>1.3313079299731181E-2</v>
      </c>
      <c r="F20" s="57" t="s">
        <v>111</v>
      </c>
      <c r="G20" s="37">
        <f>VLOOKUP(F20,'[1]ใส่ยอดขาย '!$B$6:$AA$84,26,0)</f>
        <v>1.4196980071521228E-2</v>
      </c>
      <c r="H20" s="42"/>
      <c r="I20" s="47"/>
      <c r="J20" s="42"/>
      <c r="K20" s="47"/>
      <c r="L20" s="43"/>
      <c r="M20" s="39">
        <v>5</v>
      </c>
      <c r="N20" s="40">
        <v>20000</v>
      </c>
    </row>
    <row r="21" spans="1:14" s="39" customFormat="1" ht="33" customHeight="1" x14ac:dyDescent="0.15">
      <c r="A21" s="35">
        <v>16</v>
      </c>
      <c r="B21" s="54" t="s">
        <v>173</v>
      </c>
      <c r="C21" s="36">
        <f>VLOOKUP(B21,'[1]ใส่ยอดขาย '!$B$6:$AA$86,26,0)</f>
        <v>9.8455254973966334E-3</v>
      </c>
      <c r="D21" s="54" t="s">
        <v>208</v>
      </c>
      <c r="E21" s="36">
        <f>VLOOKUP(D21,'[1]ใส่ยอดขาย '!$B$6:$AA$85,26,0)</f>
        <v>1.6456759750221248E-2</v>
      </c>
      <c r="F21" s="28" t="s">
        <v>196</v>
      </c>
      <c r="G21" s="37">
        <f>VLOOKUP(F21,'[1]ใส่ยอดขาย '!$B$6:$AA$84,26,0)</f>
        <v>6.7652269199248265E-3</v>
      </c>
      <c r="H21" s="38"/>
      <c r="I21" s="46"/>
      <c r="J21" s="42"/>
      <c r="K21" s="47"/>
      <c r="L21" s="43"/>
      <c r="M21" s="39">
        <v>11</v>
      </c>
      <c r="N21" s="39" t="s">
        <v>274</v>
      </c>
    </row>
    <row r="22" spans="1:14" s="39" customFormat="1" ht="33" customHeight="1" x14ac:dyDescent="0.15">
      <c r="A22" s="35">
        <v>17</v>
      </c>
      <c r="B22" s="56" t="s">
        <v>158</v>
      </c>
      <c r="C22" s="36">
        <f>VLOOKUP(B22,'[1]ใส่ยอดขาย '!$B$6:$AA$86,26,0)</f>
        <v>6.5150381898185315E-3</v>
      </c>
      <c r="D22" s="54" t="s">
        <v>254</v>
      </c>
      <c r="E22" s="36">
        <f>VLOOKUP(D22,'[1]ใส่ยอดขาย '!$B$6:$AA$85,26,0)</f>
        <v>7.611762355181401E-3</v>
      </c>
      <c r="F22" s="28" t="s">
        <v>246</v>
      </c>
      <c r="G22" s="37">
        <f>VLOOKUP(F22,'[1]ใส่ยอดขาย '!$B$6:$AA$84,26,0)</f>
        <v>1.615292434660549E-2</v>
      </c>
      <c r="H22" s="38"/>
      <c r="I22" s="46"/>
      <c r="J22" s="42"/>
      <c r="K22" s="47"/>
      <c r="L22" s="35"/>
      <c r="M22" s="39">
        <v>9</v>
      </c>
      <c r="N22" s="39" t="s">
        <v>275</v>
      </c>
    </row>
    <row r="23" spans="1:14" s="39" customFormat="1" ht="33" customHeight="1" x14ac:dyDescent="0.15">
      <c r="A23" s="35">
        <v>18</v>
      </c>
      <c r="B23" s="53" t="s">
        <v>175</v>
      </c>
      <c r="C23" s="36">
        <f>VLOOKUP(B23,'[1]ใส่ยอดขาย '!$B$6:$AA$86,26,0)</f>
        <v>1.4030226451879861E-2</v>
      </c>
      <c r="D23" s="53" t="s">
        <v>78</v>
      </c>
      <c r="E23" s="36">
        <f>VLOOKUP(D23,'[1]ใส่ยอดขาย '!$B$6:$AA$85,26,0)</f>
        <v>2.8699601018482616E-2</v>
      </c>
      <c r="F23" s="54" t="s">
        <v>156</v>
      </c>
      <c r="G23" s="37">
        <f>VLOOKUP(F23,'[1]ใส่ยอดขาย '!$B$6:$AA$84,26,0)</f>
        <v>7.0934187197781223E-3</v>
      </c>
      <c r="H23" s="49"/>
      <c r="I23" s="50"/>
      <c r="J23" s="49"/>
      <c r="K23" s="50"/>
      <c r="L23" s="38"/>
      <c r="M23" s="39">
        <v>12</v>
      </c>
      <c r="N23" s="40">
        <v>10000</v>
      </c>
    </row>
    <row r="24" spans="1:14" s="39" customFormat="1" ht="33" customHeight="1" x14ac:dyDescent="0.15">
      <c r="A24" s="35"/>
      <c r="B24" s="54"/>
      <c r="C24" s="44">
        <v>0.28160000000000002</v>
      </c>
      <c r="D24" s="28"/>
      <c r="E24" s="44">
        <f>SUM(E6:E23)</f>
        <v>0.28174922169614408</v>
      </c>
      <c r="F24" s="54"/>
      <c r="G24" s="45">
        <f>SUM(G6:G23)</f>
        <v>0.27724359585669212</v>
      </c>
      <c r="H24" s="38"/>
      <c r="I24" s="46"/>
      <c r="J24" s="38"/>
      <c r="K24" s="46"/>
      <c r="L24" s="51" t="s">
        <v>276</v>
      </c>
      <c r="M24" s="39">
        <v>16</v>
      </c>
      <c r="N24" s="40">
        <v>10000</v>
      </c>
    </row>
    <row r="25" spans="1:14" s="39" customFormat="1" ht="33" customHeight="1" x14ac:dyDescent="0.15">
      <c r="A25" s="35"/>
      <c r="B25" s="54"/>
      <c r="C25" s="36"/>
      <c r="D25" s="28"/>
      <c r="E25" s="46"/>
      <c r="F25" s="28"/>
      <c r="G25" s="46"/>
      <c r="H25" s="38"/>
      <c r="I25" s="46"/>
      <c r="J25" s="38"/>
      <c r="K25" s="46"/>
      <c r="L25" s="51" t="s">
        <v>277</v>
      </c>
      <c r="M25" s="39">
        <v>7</v>
      </c>
      <c r="N25" s="40">
        <v>20000</v>
      </c>
    </row>
  </sheetData>
  <mergeCells count="13">
    <mergeCell ref="K3:K4"/>
    <mergeCell ref="L3:L4"/>
    <mergeCell ref="A5:B5"/>
    <mergeCell ref="A1:K1"/>
    <mergeCell ref="A3:B4"/>
    <mergeCell ref="C3:C4"/>
    <mergeCell ref="D3:D4"/>
    <mergeCell ref="E3:E4"/>
    <mergeCell ref="F3:F4"/>
    <mergeCell ref="G3:G4"/>
    <mergeCell ref="H3:H4"/>
    <mergeCell ref="I3:I4"/>
    <mergeCell ref="J3:J4"/>
  </mergeCell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4721-B596-9A49-947F-698D1DBE38E5}">
  <dimension ref="A1:B14"/>
  <sheetViews>
    <sheetView view="pageBreakPreview" zoomScale="60" zoomScaleNormal="66" workbookViewId="0">
      <selection activeCell="A13" sqref="A13:B13"/>
    </sheetView>
  </sheetViews>
  <sheetFormatPr baseColWidth="10" defaultColWidth="78.140625" defaultRowHeight="32" x14ac:dyDescent="0.3"/>
  <cols>
    <col min="1" max="16384" width="78.140625" style="125"/>
  </cols>
  <sheetData>
    <row r="1" spans="1:2" s="126" customFormat="1" ht="134" customHeight="1" x14ac:dyDescent="0.4">
      <c r="A1" s="505" t="s">
        <v>2</v>
      </c>
      <c r="B1" s="505"/>
    </row>
    <row r="2" spans="1:2" s="126" customFormat="1" ht="134" customHeight="1" x14ac:dyDescent="0.4">
      <c r="A2" s="505" t="s">
        <v>172</v>
      </c>
      <c r="B2" s="505"/>
    </row>
    <row r="3" spans="1:2" s="126" customFormat="1" ht="134" customHeight="1" x14ac:dyDescent="0.4">
      <c r="A3" s="505" t="s">
        <v>1</v>
      </c>
      <c r="B3" s="505"/>
    </row>
    <row r="4" spans="1:2" s="126" customFormat="1" ht="134" customHeight="1" x14ac:dyDescent="0.4">
      <c r="A4" s="505" t="s">
        <v>174</v>
      </c>
      <c r="B4" s="505"/>
    </row>
    <row r="5" spans="1:2" s="126" customFormat="1" ht="134" customHeight="1" x14ac:dyDescent="0.4">
      <c r="A5" s="505" t="s">
        <v>138</v>
      </c>
      <c r="B5" s="505"/>
    </row>
    <row r="6" spans="1:2" s="126" customFormat="1" ht="134" customHeight="1" x14ac:dyDescent="0.4">
      <c r="A6" s="505" t="s">
        <v>158</v>
      </c>
      <c r="B6" s="505"/>
    </row>
    <row r="7" spans="1:2" s="126" customFormat="1" ht="134" customHeight="1" x14ac:dyDescent="0.4">
      <c r="A7" s="505" t="s">
        <v>5</v>
      </c>
      <c r="B7" s="505"/>
    </row>
    <row r="8" spans="1:2" s="126" customFormat="1" ht="134" customHeight="1" x14ac:dyDescent="0.4">
      <c r="A8" s="505" t="s">
        <v>156</v>
      </c>
      <c r="B8" s="505"/>
    </row>
    <row r="9" spans="1:2" s="126" customFormat="1" ht="134" customHeight="1" x14ac:dyDescent="0.4">
      <c r="A9" s="505" t="s">
        <v>44</v>
      </c>
      <c r="B9" s="505"/>
    </row>
    <row r="10" spans="1:2" s="126" customFormat="1" ht="134" customHeight="1" x14ac:dyDescent="0.4">
      <c r="A10" s="505" t="s">
        <v>208</v>
      </c>
      <c r="B10" s="505"/>
    </row>
    <row r="11" spans="1:2" s="126" customFormat="1" ht="134" customHeight="1" x14ac:dyDescent="0.4">
      <c r="A11" s="505" t="s">
        <v>46</v>
      </c>
      <c r="B11" s="505"/>
    </row>
    <row r="12" spans="1:2" s="126" customFormat="1" ht="134" customHeight="1" x14ac:dyDescent="0.4">
      <c r="A12" s="505" t="s">
        <v>45</v>
      </c>
      <c r="B12" s="505"/>
    </row>
    <row r="13" spans="1:2" s="126" customFormat="1" ht="134" customHeight="1" x14ac:dyDescent="0.4">
      <c r="A13" s="505" t="s">
        <v>246</v>
      </c>
      <c r="B13" s="505"/>
    </row>
    <row r="14" spans="1:2" s="126" customFormat="1" ht="134" customHeight="1" x14ac:dyDescent="0.4">
      <c r="A14" s="505" t="s">
        <v>111</v>
      </c>
      <c r="B14" s="505"/>
    </row>
  </sheetData>
  <mergeCells count="14">
    <mergeCell ref="A9:B9"/>
    <mergeCell ref="A14:B14"/>
    <mergeCell ref="A13:B13"/>
    <mergeCell ref="A12:B12"/>
    <mergeCell ref="A11:B11"/>
    <mergeCell ref="A10:B10"/>
    <mergeCell ref="A2:B2"/>
    <mergeCell ref="A1:B1"/>
    <mergeCell ref="A8:B8"/>
    <mergeCell ref="A7:B7"/>
    <mergeCell ref="A6:B6"/>
    <mergeCell ref="A5:B5"/>
    <mergeCell ref="A4:B4"/>
    <mergeCell ref="A3:B3"/>
  </mergeCells>
  <pageMargins left="0.7" right="0.7" top="0.75" bottom="0.75" header="0.3" footer="0.3"/>
  <pageSetup paperSize="9" scale="3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เวิร์กชีต</vt:lpstr>
      </vt:variant>
      <vt:variant>
        <vt:i4>16</vt:i4>
      </vt:variant>
      <vt:variant>
        <vt:lpstr>ช่วงที่มีชื่อ</vt:lpstr>
      </vt:variant>
      <vt:variant>
        <vt:i4>1</vt:i4>
      </vt:variant>
    </vt:vector>
  </HeadingPairs>
  <TitlesOfParts>
    <vt:vector size="17" baseType="lpstr">
      <vt:lpstr>ยอดขายปีที่แล้ว</vt:lpstr>
      <vt:lpstr>ยอดขายเดือนที่เแล้ว</vt:lpstr>
      <vt:lpstr>ยอดขายปัจจุบัน</vt:lpstr>
      <vt:lpstr>year</vt:lpstr>
      <vt:lpstr>Performance</vt:lpstr>
      <vt:lpstr>Report</vt:lpstr>
      <vt:lpstr>ALL SHOP</vt:lpstr>
      <vt:lpstr>Survay Member </vt:lpstr>
      <vt:lpstr>STK-เดือน.</vt:lpstr>
      <vt:lpstr>Week day&amp;Week end</vt:lpstr>
      <vt:lpstr>MANPOWER</vt:lpstr>
      <vt:lpstr>STK UPDATE</vt:lpstr>
      <vt:lpstr>งานประจำสัปดาห์</vt:lpstr>
      <vt:lpstr>Target ปี 2026</vt:lpstr>
      <vt:lpstr>Group Area</vt:lpstr>
      <vt:lpstr>สาขา</vt:lpstr>
      <vt:lpstr>สาขา!Print_Area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Manager</dc:creator>
  <cp:lastModifiedBy>BEN Area manager</cp:lastModifiedBy>
  <dcterms:created xsi:type="dcterms:W3CDTF">2024-02-28T08:07:27Z</dcterms:created>
  <dcterms:modified xsi:type="dcterms:W3CDTF">2026-04-05T07:20:35Z</dcterms:modified>
</cp:coreProperties>
</file>