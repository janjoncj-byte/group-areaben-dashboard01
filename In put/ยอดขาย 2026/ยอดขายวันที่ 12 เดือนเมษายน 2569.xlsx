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appleclub/Documents/In put/ยอดขาย 2026/"/>
    </mc:Choice>
  </mc:AlternateContent>
  <xr:revisionPtr revIDLastSave="0" documentId="13_ncr:1_{1651D3B2-2EE8-884D-A1B6-1E19DED15B99}" xr6:coauthVersionLast="47" xr6:coauthVersionMax="47" xr10:uidLastSave="{00000000-0000-0000-0000-000000000000}"/>
  <bookViews>
    <workbookView xWindow="0" yWindow="600" windowWidth="25600" windowHeight="14260" activeTab="3" xr2:uid="{8931555F-816B-F84D-885D-4269E85FD78A}"/>
  </bookViews>
  <sheets>
    <sheet name="ยอดขายปีที่แล้ว" sheetId="31" r:id="rId1"/>
    <sheet name="ยอดขายเดือนที่เแล้ว" sheetId="34" r:id="rId2"/>
    <sheet name="ยอดขายปัจจุบัน" sheetId="3" r:id="rId3"/>
    <sheet name="Report" sheetId="1" r:id="rId4"/>
    <sheet name="Target ปี 2026" sheetId="56" r:id="rId5"/>
  </sheets>
  <definedNames>
    <definedName name="_xlnm._FilterDatabase" localSheetId="2" hidden="1">ยอดขายปัจจุบัน!$A$2:$E$52</definedName>
    <definedName name="_xlnm._FilterDatabase" localSheetId="3" hidden="1">Report!$C$42:$D$54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" l="1"/>
  <c r="AA15" i="1"/>
  <c r="AA16" i="1"/>
  <c r="AA17" i="1"/>
  <c r="AA18" i="1"/>
  <c r="C20" i="1"/>
  <c r="C19" i="1"/>
  <c r="J19" i="1"/>
  <c r="AO4" i="1"/>
  <c r="AP4" i="1"/>
  <c r="AO5" i="1"/>
  <c r="AP5" i="1"/>
  <c r="AO6" i="1"/>
  <c r="AP6" i="1"/>
  <c r="AO7" i="1"/>
  <c r="AP7" i="1"/>
  <c r="AO8" i="1"/>
  <c r="AP8" i="1"/>
  <c r="AO9" i="1"/>
  <c r="AP9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P3" i="1"/>
  <c r="AO3" i="1"/>
  <c r="AJ19" i="1"/>
  <c r="AK19" i="1"/>
  <c r="AL19" i="1"/>
  <c r="AM19" i="1"/>
  <c r="AJ20" i="1"/>
  <c r="AK20" i="1"/>
  <c r="AL20" i="1"/>
  <c r="AM20" i="1"/>
  <c r="AN20" i="1"/>
  <c r="AN19" i="1"/>
  <c r="C4" i="1"/>
  <c r="C5" i="1"/>
  <c r="C6" i="1"/>
  <c r="C7" i="1"/>
  <c r="C8" i="1"/>
  <c r="C9" i="1"/>
  <c r="C11" i="1"/>
  <c r="C12" i="1"/>
  <c r="C13" i="1"/>
  <c r="C14" i="1"/>
  <c r="C15" i="1"/>
  <c r="C16" i="1"/>
  <c r="C17" i="1"/>
  <c r="C18" i="1"/>
  <c r="E35" i="1"/>
  <c r="AO19" i="1" l="1"/>
  <c r="AP19" i="1"/>
  <c r="AO20" i="1"/>
  <c r="AP20" i="1"/>
  <c r="AE18" i="1" l="1"/>
  <c r="AF18" i="1" s="1"/>
  <c r="AS12" i="1" l="1"/>
  <c r="AS13" i="1"/>
  <c r="AS14" i="1"/>
  <c r="AS15" i="1"/>
  <c r="AS16" i="1"/>
  <c r="AS17" i="1"/>
  <c r="AS18" i="1"/>
  <c r="AS11" i="1"/>
  <c r="AS4" i="1"/>
  <c r="AS5" i="1"/>
  <c r="AS6" i="1"/>
  <c r="AS7" i="1"/>
  <c r="AS8" i="1"/>
  <c r="AS9" i="1"/>
  <c r="AS3" i="1"/>
  <c r="Z14" i="1"/>
  <c r="Z15" i="1"/>
  <c r="Z16" i="1"/>
  <c r="Z17" i="1"/>
  <c r="Z18" i="1"/>
  <c r="AE12" i="1"/>
  <c r="AF12" i="1" s="1"/>
  <c r="E12" i="1"/>
  <c r="G12" i="1"/>
  <c r="Z12" i="1"/>
  <c r="AA12" i="1" s="1"/>
  <c r="AE16" i="1"/>
  <c r="AF16" i="1" s="1"/>
  <c r="AE17" i="1"/>
  <c r="AF17" i="1" s="1"/>
  <c r="G16" i="1"/>
  <c r="G17" i="1"/>
  <c r="G18" i="1"/>
  <c r="E16" i="1"/>
  <c r="E17" i="1"/>
  <c r="E18" i="1"/>
  <c r="B18" i="1" l="1"/>
  <c r="C57" i="1"/>
  <c r="B17" i="1"/>
  <c r="C56" i="1"/>
  <c r="D12" i="1"/>
  <c r="C51" i="1"/>
  <c r="B12" i="1"/>
  <c r="B16" i="1"/>
  <c r="C55" i="1"/>
  <c r="F12" i="1"/>
  <c r="L12" i="1" s="1"/>
  <c r="D51" i="1"/>
  <c r="F17" i="1"/>
  <c r="L17" i="1" s="1"/>
  <c r="D56" i="1"/>
  <c r="Y16" i="1"/>
  <c r="D55" i="1"/>
  <c r="Y18" i="1"/>
  <c r="D57" i="1"/>
  <c r="AT12" i="1"/>
  <c r="AT18" i="1"/>
  <c r="AT17" i="1"/>
  <c r="AT16" i="1"/>
  <c r="H12" i="1"/>
  <c r="J12" i="1" s="1"/>
  <c r="Y12" i="1"/>
  <c r="Q12" i="1"/>
  <c r="R12" i="1" s="1"/>
  <c r="S12" i="1" s="1"/>
  <c r="H17" i="1"/>
  <c r="J17" i="1" s="1"/>
  <c r="D18" i="1"/>
  <c r="D17" i="1"/>
  <c r="D16" i="1"/>
  <c r="H16" i="1"/>
  <c r="J16" i="1" s="1"/>
  <c r="Y17" i="1"/>
  <c r="Q17" i="1"/>
  <c r="R17" i="1" s="1"/>
  <c r="S17" i="1" s="1"/>
  <c r="F16" i="1"/>
  <c r="L16" i="1" s="1"/>
  <c r="Q18" i="1"/>
  <c r="R18" i="1" s="1"/>
  <c r="S18" i="1" s="1"/>
  <c r="Q16" i="1"/>
  <c r="R16" i="1" s="1"/>
  <c r="S16" i="1" s="1"/>
  <c r="H18" i="1"/>
  <c r="J18" i="1" s="1"/>
  <c r="F18" i="1"/>
  <c r="V12" i="1" l="1"/>
  <c r="AB18" i="1"/>
  <c r="L18" i="1"/>
  <c r="T17" i="1"/>
  <c r="V17" i="1"/>
  <c r="N17" i="1"/>
  <c r="N12" i="1"/>
  <c r="AB17" i="1"/>
  <c r="AU17" i="1"/>
  <c r="AV17" i="1" s="1"/>
  <c r="AY17" i="1" s="1"/>
  <c r="AG12" i="1"/>
  <c r="AH12" i="1" s="1"/>
  <c r="AU16" i="1"/>
  <c r="AV16" i="1" s="1"/>
  <c r="AY16" i="1" s="1"/>
  <c r="T12" i="1"/>
  <c r="AB12" i="1"/>
  <c r="AD12" i="1" s="1"/>
  <c r="AU18" i="1"/>
  <c r="AV18" i="1" s="1"/>
  <c r="AY18" i="1" s="1"/>
  <c r="AU12" i="1"/>
  <c r="AV12" i="1" s="1"/>
  <c r="AY12" i="1" s="1"/>
  <c r="AG17" i="1"/>
  <c r="AB16" i="1"/>
  <c r="N16" i="1"/>
  <c r="AG16" i="1"/>
  <c r="AH16" i="1" s="1"/>
  <c r="T16" i="1"/>
  <c r="V16" i="1"/>
  <c r="N18" i="1"/>
  <c r="T18" i="1"/>
  <c r="V18" i="1"/>
  <c r="AG18" i="1"/>
  <c r="AH18" i="1" s="1"/>
  <c r="C3" i="1"/>
  <c r="AD17" i="1" l="1"/>
  <c r="AC17" i="1"/>
  <c r="AH17" i="1"/>
  <c r="AI17" i="1"/>
  <c r="C43" i="1"/>
  <c r="AW17" i="1"/>
  <c r="AX17" i="1" s="1"/>
  <c r="AC12" i="1"/>
  <c r="AI12" i="1"/>
  <c r="AT7" i="1"/>
  <c r="C47" i="1"/>
  <c r="AT15" i="1"/>
  <c r="C54" i="1"/>
  <c r="AT4" i="1"/>
  <c r="C44" i="1"/>
  <c r="AT13" i="1"/>
  <c r="C52" i="1"/>
  <c r="AT9" i="1"/>
  <c r="C49" i="1"/>
  <c r="AT14" i="1"/>
  <c r="C53" i="1"/>
  <c r="AT8" i="1"/>
  <c r="C48" i="1"/>
  <c r="AT11" i="1"/>
  <c r="C50" i="1"/>
  <c r="AT6" i="1"/>
  <c r="C46" i="1"/>
  <c r="AT5" i="1"/>
  <c r="C45" i="1"/>
  <c r="AZ18" i="1"/>
  <c r="BA18" i="1" s="1"/>
  <c r="AT3" i="1"/>
  <c r="AW16" i="1"/>
  <c r="AX16" i="1" s="1"/>
  <c r="AW12" i="1"/>
  <c r="AX12" i="1" s="1"/>
  <c r="AZ12" i="1"/>
  <c r="BA12" i="1" s="1"/>
  <c r="AZ16" i="1"/>
  <c r="BA16" i="1" s="1"/>
  <c r="AW18" i="1"/>
  <c r="AX18" i="1" s="1"/>
  <c r="AZ17" i="1"/>
  <c r="BA17" i="1" s="1"/>
  <c r="AI18" i="1"/>
  <c r="AI16" i="1"/>
  <c r="K12" i="1"/>
  <c r="P12" i="1"/>
  <c r="O12" i="1"/>
  <c r="W12" i="1"/>
  <c r="U12" i="1"/>
  <c r="U18" i="1"/>
  <c r="U16" i="1"/>
  <c r="K16" i="1"/>
  <c r="K17" i="1"/>
  <c r="K18" i="1"/>
  <c r="P17" i="1"/>
  <c r="O17" i="1"/>
  <c r="B15" i="1"/>
  <c r="W16" i="1"/>
  <c r="W17" i="1"/>
  <c r="W18" i="1"/>
  <c r="U17" i="1"/>
  <c r="P18" i="1"/>
  <c r="O18" i="1"/>
  <c r="O16" i="1"/>
  <c r="P16" i="1"/>
  <c r="AD18" i="1"/>
  <c r="AC18" i="1"/>
  <c r="AC16" i="1"/>
  <c r="AD16" i="1"/>
  <c r="AT19" i="1" l="1"/>
  <c r="AE15" i="1" l="1"/>
  <c r="AF15" i="1" s="1"/>
  <c r="E15" i="1"/>
  <c r="D54" i="1" s="1"/>
  <c r="G15" i="1"/>
  <c r="H15" i="1" l="1"/>
  <c r="J15" i="1" s="1"/>
  <c r="Q15" i="1"/>
  <c r="R15" i="1" s="1"/>
  <c r="S15" i="1" s="1"/>
  <c r="D15" i="1"/>
  <c r="F15" i="1"/>
  <c r="L15" i="1" s="1"/>
  <c r="AU15" i="1" l="1"/>
  <c r="AV15" i="1" s="1"/>
  <c r="T15" i="1"/>
  <c r="V15" i="1"/>
  <c r="N15" i="1"/>
  <c r="AB15" i="1"/>
  <c r="AD15" i="1" s="1"/>
  <c r="AG15" i="1"/>
  <c r="AH15" i="1" s="1"/>
  <c r="AY15" i="1" l="1"/>
  <c r="AZ15" i="1" s="1"/>
  <c r="BA15" i="1" s="1"/>
  <c r="AW15" i="1"/>
  <c r="AX15" i="1" s="1"/>
  <c r="AI15" i="1"/>
  <c r="AC15" i="1"/>
  <c r="P15" i="1" l="1"/>
  <c r="W15" i="1"/>
  <c r="U15" i="1"/>
  <c r="K15" i="1"/>
  <c r="O15" i="1"/>
  <c r="AE4" i="1" l="1"/>
  <c r="AF4" i="1" s="1"/>
  <c r="Z4" i="1"/>
  <c r="AA4" i="1" s="1"/>
  <c r="G4" i="1"/>
  <c r="E4" i="1"/>
  <c r="D44" i="1" s="1"/>
  <c r="D4" i="1"/>
  <c r="B4" i="1"/>
  <c r="AE3" i="1"/>
  <c r="Z3" i="1"/>
  <c r="G3" i="1"/>
  <c r="E3" i="1"/>
  <c r="D3" i="1"/>
  <c r="B3" i="1"/>
  <c r="AA3" i="1" l="1"/>
  <c r="AF3" i="1"/>
  <c r="D43" i="1"/>
  <c r="F4" i="1"/>
  <c r="L4" i="1" s="1"/>
  <c r="Q4" i="1"/>
  <c r="R4" i="1" s="1"/>
  <c r="S4" i="1" s="1"/>
  <c r="H4" i="1"/>
  <c r="J4" i="1" s="1"/>
  <c r="F3" i="1"/>
  <c r="Q3" i="1"/>
  <c r="H3" i="1"/>
  <c r="L3" i="1" l="1"/>
  <c r="R3" i="1"/>
  <c r="J3" i="1"/>
  <c r="AU4" i="1"/>
  <c r="AV4" i="1" s="1"/>
  <c r="AU3" i="1"/>
  <c r="AB4" i="1"/>
  <c r="T4" i="1"/>
  <c r="AG4" i="1"/>
  <c r="V4" i="1"/>
  <c r="N4" i="1"/>
  <c r="T3" i="1"/>
  <c r="AB3" i="1"/>
  <c r="AG3" i="1"/>
  <c r="V3" i="1"/>
  <c r="N3" i="1"/>
  <c r="AE9" i="1"/>
  <c r="AF9" i="1" s="1"/>
  <c r="Z9" i="1"/>
  <c r="AA9" i="1" s="1"/>
  <c r="G9" i="1"/>
  <c r="E9" i="1"/>
  <c r="D49" i="1" s="1"/>
  <c r="D9" i="1"/>
  <c r="B9" i="1"/>
  <c r="AE8" i="1"/>
  <c r="AF8" i="1" s="1"/>
  <c r="Z8" i="1"/>
  <c r="AA8" i="1" s="1"/>
  <c r="G8" i="1"/>
  <c r="E8" i="1"/>
  <c r="D48" i="1" s="1"/>
  <c r="D8" i="1"/>
  <c r="B8" i="1"/>
  <c r="AE7" i="1"/>
  <c r="AF7" i="1" s="1"/>
  <c r="Z7" i="1"/>
  <c r="AA7" i="1" s="1"/>
  <c r="G7" i="1"/>
  <c r="E7" i="1"/>
  <c r="D47" i="1" s="1"/>
  <c r="D7" i="1"/>
  <c r="B7" i="1"/>
  <c r="AE6" i="1"/>
  <c r="AF6" i="1" s="1"/>
  <c r="Z6" i="1"/>
  <c r="AA6" i="1" s="1"/>
  <c r="G6" i="1"/>
  <c r="E6" i="1"/>
  <c r="D46" i="1" s="1"/>
  <c r="D6" i="1"/>
  <c r="B6" i="1"/>
  <c r="AE5" i="1"/>
  <c r="Z5" i="1"/>
  <c r="G5" i="1"/>
  <c r="E5" i="1"/>
  <c r="D5" i="1"/>
  <c r="B5" i="1"/>
  <c r="AV3" i="1" l="1"/>
  <c r="AA5" i="1"/>
  <c r="AA19" i="1" s="1"/>
  <c r="Z19" i="1"/>
  <c r="AF5" i="1"/>
  <c r="AE19" i="1"/>
  <c r="S3" i="1"/>
  <c r="D45" i="1"/>
  <c r="AI3" i="1"/>
  <c r="AH3" i="1"/>
  <c r="AH4" i="1"/>
  <c r="AI4" i="1"/>
  <c r="AW4" i="1"/>
  <c r="AX4" i="1" s="1"/>
  <c r="AY4" i="1"/>
  <c r="AZ4" i="1" s="1"/>
  <c r="BA4" i="1" s="1"/>
  <c r="W4" i="1"/>
  <c r="U4" i="1"/>
  <c r="K3" i="1"/>
  <c r="K4" i="1"/>
  <c r="AC4" i="1"/>
  <c r="AD4" i="1"/>
  <c r="P4" i="1"/>
  <c r="O4" i="1"/>
  <c r="W3" i="1"/>
  <c r="U3" i="1"/>
  <c r="P3" i="1"/>
  <c r="O3" i="1"/>
  <c r="AC3" i="1"/>
  <c r="AD3" i="1"/>
  <c r="K5" i="1"/>
  <c r="K6" i="1"/>
  <c r="K8" i="1"/>
  <c r="K9" i="1"/>
  <c r="H7" i="1"/>
  <c r="J7" i="1" s="1"/>
  <c r="H6" i="1"/>
  <c r="J6" i="1" s="1"/>
  <c r="F9" i="1"/>
  <c r="L9" i="1" s="1"/>
  <c r="Q9" i="1"/>
  <c r="R9" i="1" s="1"/>
  <c r="S9" i="1" s="1"/>
  <c r="H9" i="1"/>
  <c r="J9" i="1" s="1"/>
  <c r="F7" i="1"/>
  <c r="L7" i="1" s="1"/>
  <c r="Q7" i="1"/>
  <c r="R7" i="1" s="1"/>
  <c r="S7" i="1" s="1"/>
  <c r="F8" i="1"/>
  <c r="L8" i="1" s="1"/>
  <c r="Q8" i="1"/>
  <c r="R8" i="1" s="1"/>
  <c r="S8" i="1" s="1"/>
  <c r="K7" i="1"/>
  <c r="H8" i="1"/>
  <c r="J8" i="1" s="1"/>
  <c r="F6" i="1"/>
  <c r="L6" i="1" s="1"/>
  <c r="Q6" i="1"/>
  <c r="R6" i="1" s="1"/>
  <c r="S6" i="1" s="1"/>
  <c r="F5" i="1"/>
  <c r="L5" i="1" s="1"/>
  <c r="Q5" i="1"/>
  <c r="H5" i="1"/>
  <c r="AW3" i="1" l="1"/>
  <c r="AX3" i="1" s="1"/>
  <c r="AY3" i="1"/>
  <c r="AZ3" i="1" s="1"/>
  <c r="BA3" i="1" s="1"/>
  <c r="AF19" i="1"/>
  <c r="R5" i="1"/>
  <c r="Q19" i="1"/>
  <c r="J5" i="1"/>
  <c r="AU8" i="1"/>
  <c r="AV8" i="1" s="1"/>
  <c r="AU7" i="1"/>
  <c r="AV7" i="1" s="1"/>
  <c r="AU6" i="1"/>
  <c r="AV6" i="1" s="1"/>
  <c r="AU5" i="1"/>
  <c r="AU9" i="1"/>
  <c r="AV9" i="1" s="1"/>
  <c r="AB7" i="1"/>
  <c r="AB9" i="1"/>
  <c r="T9" i="1"/>
  <c r="U9" i="1" s="1"/>
  <c r="AG9" i="1"/>
  <c r="V9" i="1"/>
  <c r="W9" i="1" s="1"/>
  <c r="N9" i="1"/>
  <c r="AB8" i="1"/>
  <c r="T8" i="1"/>
  <c r="U8" i="1" s="1"/>
  <c r="AG8" i="1"/>
  <c r="V8" i="1"/>
  <c r="W8" i="1" s="1"/>
  <c r="N8" i="1"/>
  <c r="V7" i="1"/>
  <c r="W7" i="1" s="1"/>
  <c r="N7" i="1"/>
  <c r="T7" i="1"/>
  <c r="U7" i="1" s="1"/>
  <c r="AG7" i="1"/>
  <c r="V6" i="1"/>
  <c r="W6" i="1" s="1"/>
  <c r="AB6" i="1"/>
  <c r="T6" i="1"/>
  <c r="U6" i="1" s="1"/>
  <c r="AG6" i="1"/>
  <c r="N6" i="1"/>
  <c r="N5" i="1"/>
  <c r="AB5" i="1"/>
  <c r="T5" i="1"/>
  <c r="AG5" i="1"/>
  <c r="V5" i="1"/>
  <c r="AV5" i="1" l="1"/>
  <c r="S5" i="1"/>
  <c r="S19" i="1" s="1"/>
  <c r="R19" i="1"/>
  <c r="AB19" i="1"/>
  <c r="AG19" i="1"/>
  <c r="U5" i="1"/>
  <c r="U19" i="1" s="1"/>
  <c r="T19" i="1"/>
  <c r="W5" i="1"/>
  <c r="W19" i="1" s="1"/>
  <c r="V19" i="1"/>
  <c r="AC6" i="1"/>
  <c r="AD6" i="1"/>
  <c r="AD5" i="1"/>
  <c r="AC5" i="1"/>
  <c r="AH8" i="1"/>
  <c r="AI8" i="1"/>
  <c r="AH9" i="1"/>
  <c r="AI9" i="1"/>
  <c r="AI5" i="1"/>
  <c r="AH5" i="1"/>
  <c r="AH7" i="1"/>
  <c r="AI7" i="1"/>
  <c r="AH6" i="1"/>
  <c r="AI6" i="1"/>
  <c r="AW7" i="1"/>
  <c r="AX7" i="1" s="1"/>
  <c r="AY7" i="1"/>
  <c r="AZ7" i="1" s="1"/>
  <c r="BA7" i="1" s="1"/>
  <c r="AW9" i="1"/>
  <c r="AX9" i="1" s="1"/>
  <c r="AY9" i="1"/>
  <c r="AZ9" i="1" s="1"/>
  <c r="BA9" i="1" s="1"/>
  <c r="AW8" i="1"/>
  <c r="AX8" i="1" s="1"/>
  <c r="AY8" i="1"/>
  <c r="AZ8" i="1" s="1"/>
  <c r="BA8" i="1" s="1"/>
  <c r="AW6" i="1"/>
  <c r="AX6" i="1" s="1"/>
  <c r="AY6" i="1"/>
  <c r="AZ6" i="1" s="1"/>
  <c r="BA6" i="1" s="1"/>
  <c r="AC9" i="1"/>
  <c r="AD9" i="1"/>
  <c r="P9" i="1"/>
  <c r="O9" i="1"/>
  <c r="P8" i="1"/>
  <c r="O8" i="1"/>
  <c r="P7" i="1"/>
  <c r="O7" i="1"/>
  <c r="AD7" i="1"/>
  <c r="AC7" i="1"/>
  <c r="AC8" i="1"/>
  <c r="AD8" i="1"/>
  <c r="P6" i="1"/>
  <c r="O6" i="1"/>
  <c r="P5" i="1"/>
  <c r="O5" i="1"/>
  <c r="AW5" i="1" l="1"/>
  <c r="AX5" i="1" s="1"/>
  <c r="AY5" i="1"/>
  <c r="AZ5" i="1" s="1"/>
  <c r="BA5" i="1" s="1"/>
  <c r="AD19" i="1"/>
  <c r="AC19" i="1"/>
  <c r="AH19" i="1"/>
  <c r="AI19" i="1"/>
  <c r="Y15" i="1"/>
  <c r="Y3" i="1"/>
  <c r="Y19" i="1" s="1"/>
  <c r="Y4" i="1"/>
  <c r="Y5" i="1"/>
  <c r="Y7" i="1"/>
  <c r="Y8" i="1"/>
  <c r="Y6" i="1"/>
  <c r="Y9" i="1"/>
  <c r="AE13" i="1" l="1"/>
  <c r="AE11" i="1"/>
  <c r="AE14" i="1"/>
  <c r="Z13" i="1"/>
  <c r="AA13" i="1" s="1"/>
  <c r="Z11" i="1"/>
  <c r="G13" i="1"/>
  <c r="G11" i="1"/>
  <c r="G14" i="1"/>
  <c r="E13" i="1"/>
  <c r="D52" i="1" s="1"/>
  <c r="E11" i="1"/>
  <c r="E14" i="1"/>
  <c r="D53" i="1" s="1"/>
  <c r="E19" i="1" l="1"/>
  <c r="E20" i="1"/>
  <c r="AE20" i="1"/>
  <c r="G20" i="1"/>
  <c r="G19" i="1"/>
  <c r="D50" i="1"/>
  <c r="Z20" i="1"/>
  <c r="Q14" i="1"/>
  <c r="R14" i="1" s="1"/>
  <c r="S14" i="1" s="1"/>
  <c r="Q13" i="1"/>
  <c r="R13" i="1" s="1"/>
  <c r="S13" i="1" s="1"/>
  <c r="Q11" i="1"/>
  <c r="R11" i="1" s="1"/>
  <c r="S11" i="1" s="1"/>
  <c r="K19" i="1" l="1"/>
  <c r="X19" i="1"/>
  <c r="X12" i="1"/>
  <c r="X17" i="1"/>
  <c r="X16" i="1"/>
  <c r="X18" i="1"/>
  <c r="X15" i="1"/>
  <c r="X3" i="1"/>
  <c r="X4" i="1"/>
  <c r="B14" i="1" l="1"/>
  <c r="AA11" i="1" l="1"/>
  <c r="AA20" i="1" s="1"/>
  <c r="AF14" i="1"/>
  <c r="AF13" i="1"/>
  <c r="AF11" i="1"/>
  <c r="AF20" i="1" l="1"/>
  <c r="D13" i="1" l="1"/>
  <c r="D11" i="1"/>
  <c r="D14" i="1"/>
  <c r="B13" i="1"/>
  <c r="B11" i="1"/>
  <c r="D19" i="1" l="1"/>
  <c r="D20" i="1"/>
  <c r="B20" i="1"/>
  <c r="K13" i="1"/>
  <c r="H11" i="1"/>
  <c r="K14" i="1"/>
  <c r="F11" i="1"/>
  <c r="L11" i="1" s="1"/>
  <c r="Y13" i="1"/>
  <c r="Y14" i="1"/>
  <c r="Y11" i="1"/>
  <c r="K11" i="1"/>
  <c r="H14" i="1"/>
  <c r="J14" i="1" s="1"/>
  <c r="F14" i="1"/>
  <c r="L14" i="1" s="1"/>
  <c r="J11" i="1" l="1"/>
  <c r="AU14" i="1"/>
  <c r="AV14" i="1" s="1"/>
  <c r="AU11" i="1"/>
  <c r="AG14" i="1"/>
  <c r="AH14" i="1" s="1"/>
  <c r="N14" i="1"/>
  <c r="AG11" i="1"/>
  <c r="N11" i="1"/>
  <c r="AB14" i="1"/>
  <c r="AD14" i="1" s="1"/>
  <c r="T14" i="1"/>
  <c r="U14" i="1" s="1"/>
  <c r="V14" i="1"/>
  <c r="W14" i="1" s="1"/>
  <c r="T11" i="1"/>
  <c r="U11" i="1" s="1"/>
  <c r="V11" i="1"/>
  <c r="W11" i="1" s="1"/>
  <c r="AB11" i="1"/>
  <c r="AD11" i="1" l="1"/>
  <c r="AC11" i="1"/>
  <c r="AY14" i="1"/>
  <c r="AZ14" i="1" s="1"/>
  <c r="BA14" i="1" s="1"/>
  <c r="AW14" i="1"/>
  <c r="AX14" i="1" s="1"/>
  <c r="AI14" i="1"/>
  <c r="AH11" i="1"/>
  <c r="AI11" i="1"/>
  <c r="AV11" i="1"/>
  <c r="AC14" i="1"/>
  <c r="P14" i="1"/>
  <c r="O14" i="1"/>
  <c r="P11" i="1"/>
  <c r="O11" i="1"/>
  <c r="AW11" i="1" l="1"/>
  <c r="AX11" i="1" s="1"/>
  <c r="AY11" i="1"/>
  <c r="AZ11" i="1" s="1"/>
  <c r="BA11" i="1" s="1"/>
  <c r="H13" i="1" l="1"/>
  <c r="J13" i="1" l="1"/>
  <c r="I25" i="1"/>
  <c r="J25" i="1" s="1"/>
  <c r="X9" i="1" l="1"/>
  <c r="X7" i="1"/>
  <c r="X8" i="1"/>
  <c r="X6" i="1"/>
  <c r="X5" i="1"/>
  <c r="Q20" i="1"/>
  <c r="R20" i="1" s="1"/>
  <c r="S20" i="1" s="1"/>
  <c r="X14" i="1"/>
  <c r="X11" i="1"/>
  <c r="X13" i="1"/>
  <c r="X20" i="1" l="1"/>
  <c r="Y20" i="1"/>
  <c r="J20" i="1" l="1"/>
  <c r="F13" i="1" l="1"/>
  <c r="F19" i="1" l="1"/>
  <c r="L13" i="1"/>
  <c r="F20" i="1"/>
  <c r="L19" i="1"/>
  <c r="AU13" i="1"/>
  <c r="AU19" i="1" s="1"/>
  <c r="AG13" i="1"/>
  <c r="N13" i="1"/>
  <c r="N19" i="1" s="1"/>
  <c r="P19" i="1" s="1"/>
  <c r="T13" i="1"/>
  <c r="U13" i="1" s="1"/>
  <c r="V13" i="1"/>
  <c r="W13" i="1" s="1"/>
  <c r="AB13" i="1"/>
  <c r="AB20" i="1" s="1"/>
  <c r="AD20" i="1" s="1"/>
  <c r="AH13" i="1" l="1"/>
  <c r="AH20" i="1" s="1"/>
  <c r="AG20" i="1"/>
  <c r="AI20" i="1" s="1"/>
  <c r="AV13" i="1"/>
  <c r="AV19" i="1"/>
  <c r="C25" i="1"/>
  <c r="AI13" i="1"/>
  <c r="AD13" i="1"/>
  <c r="N20" i="1"/>
  <c r="L20" i="1"/>
  <c r="AC13" i="1"/>
  <c r="AC20" i="1" s="1"/>
  <c r="O13" i="1"/>
  <c r="O19" i="1" s="1"/>
  <c r="P13" i="1"/>
  <c r="AY13" i="1" l="1"/>
  <c r="AZ13" i="1" s="1"/>
  <c r="BA13" i="1" s="1"/>
  <c r="AW13" i="1"/>
  <c r="AX13" i="1" s="1"/>
  <c r="AW19" i="1"/>
  <c r="AY19" i="1"/>
  <c r="AZ19" i="1" s="1"/>
  <c r="BA19" i="1" s="1"/>
  <c r="AW20" i="1" l="1"/>
  <c r="AX19" i="1"/>
  <c r="K20" i="1" l="1"/>
  <c r="V20" i="1" l="1"/>
  <c r="W20" i="1" s="1"/>
  <c r="T20" i="1"/>
  <c r="U20" i="1" s="1"/>
  <c r="E22" i="1" l="1"/>
  <c r="P20" i="1" l="1"/>
  <c r="O20" i="1"/>
  <c r="L22" i="1"/>
  <c r="F22" i="1"/>
</calcChain>
</file>

<file path=xl/sharedStrings.xml><?xml version="1.0" encoding="utf-8"?>
<sst xmlns="http://schemas.openxmlformats.org/spreadsheetml/2006/main" count="1073" uniqueCount="416">
  <si>
    <t>สาขา</t>
  </si>
  <si>
    <t>Yuedpao สาขา SIAM SQUARE</t>
  </si>
  <si>
    <t>Yuedpao สาขา Fashion Island</t>
  </si>
  <si>
    <t>Yuedpao สาขา Central นครสวรรค์</t>
  </si>
  <si>
    <t>Yuedpao สาขา The Mall บางกะปิ</t>
  </si>
  <si>
    <t>Yuedpao สาขา Central เชียงราย</t>
  </si>
  <si>
    <t>Yuedpao สาขา BTS สยาม</t>
  </si>
  <si>
    <t>Yuedpao สาขา BTS หมอชิต</t>
  </si>
  <si>
    <t xml:space="preserve">TARGET </t>
  </si>
  <si>
    <t>TO DAY</t>
  </si>
  <si>
    <t>AVE SALE / INV</t>
  </si>
  <si>
    <t>SALE INV Standard</t>
  </si>
  <si>
    <t>DIFT</t>
  </si>
  <si>
    <t>AVE SALE / DAY</t>
  </si>
  <si>
    <t>% TARGET</t>
  </si>
  <si>
    <t>เปรียบเทียบรายปี</t>
  </si>
  <si>
    <t>เปรียบเทียบรายเดือน</t>
  </si>
  <si>
    <t xml:space="preserve">REMARK </t>
  </si>
  <si>
    <t>ก่อนหัก VAT</t>
  </si>
  <si>
    <t>หลังหัก VAT</t>
  </si>
  <si>
    <t>IVN.</t>
  </si>
  <si>
    <t>achieve 100%</t>
  </si>
  <si>
    <t>achieve 110%</t>
  </si>
  <si>
    <t>achieve 120%</t>
  </si>
  <si>
    <t>ขาดอีก</t>
  </si>
  <si>
    <t>ขาดอีก ต่อวัน</t>
  </si>
  <si>
    <t>วันคงเหลือ</t>
  </si>
  <si>
    <t>วันนี้</t>
  </si>
  <si>
    <t>คงเหลือ</t>
  </si>
  <si>
    <t xml:space="preserve">เปรียบเทียบรายสัปดาห์			</t>
  </si>
  <si>
    <t>ยอดขายรวมทั้งหมด</t>
  </si>
  <si>
    <t>แก้ไขตัวเลข</t>
  </si>
  <si>
    <t>MIX SALE ALL GROUP</t>
  </si>
  <si>
    <t>MIX SALE GROUP AREA</t>
  </si>
  <si>
    <t>NO</t>
  </si>
  <si>
    <t>TARGET</t>
  </si>
  <si>
    <t>Yuedpao สาขา จตุจักรโครงการ 22 ริมถนน</t>
  </si>
  <si>
    <t>Yuedpao สาขา จตุจักรโครงการ 28</t>
  </si>
  <si>
    <t>Yuedpao สาขา Central Festival เชียงใหม่</t>
  </si>
  <si>
    <t>Yuedpao สาขา Central เชียงใหม่แอร์พอร์ต</t>
  </si>
  <si>
    <t>Yuedpao สาขา Central รามอินทรา</t>
  </si>
  <si>
    <t>Yuedpao สาขา จตุจักรโครงการ 6</t>
  </si>
  <si>
    <t>คงเหลือ/วัน</t>
  </si>
  <si>
    <t>#</t>
  </si>
  <si>
    <t>คลัง|สาขา</t>
  </si>
  <si>
    <t>จำนวนรายการ</t>
  </si>
  <si>
    <t>ยอดขาย(บาท)</t>
  </si>
  <si>
    <t>ยอดขาย(%)</t>
  </si>
  <si>
    <t>2</t>
  </si>
  <si>
    <t>Yuedpao สาขา Future Park Rangsit ชั้น 3</t>
  </si>
  <si>
    <t>3</t>
  </si>
  <si>
    <t>Yuedpao สาขา Central พัทยา</t>
  </si>
  <si>
    <t>4</t>
  </si>
  <si>
    <t>Yuedpao สาขา Central ลาดพร้าว</t>
  </si>
  <si>
    <t>5</t>
  </si>
  <si>
    <t>6</t>
  </si>
  <si>
    <t>Yuedpao สาขา Central เวสต์เกต</t>
  </si>
  <si>
    <t>7</t>
  </si>
  <si>
    <t>Yuedpao สาขา Central ขอนแก่น</t>
  </si>
  <si>
    <t>Yuedpao สาขา Central ศาลายา</t>
  </si>
  <si>
    <t>9</t>
  </si>
  <si>
    <t>Yuedpao สาขา Central สุราษฎร์ธานี</t>
  </si>
  <si>
    <t>10</t>
  </si>
  <si>
    <t>Yuedpao สาขา Robinson บ่อวิน</t>
  </si>
  <si>
    <t>12</t>
  </si>
  <si>
    <t>Yuedpao สาขา Central หาดใหญ่</t>
  </si>
  <si>
    <t>13</t>
  </si>
  <si>
    <t>Yuedpao สาขา Central พระราม 2</t>
  </si>
  <si>
    <t>14</t>
  </si>
  <si>
    <t>Yuedpao สาขา Central พิษณุโลก</t>
  </si>
  <si>
    <t>16</t>
  </si>
  <si>
    <t>Yuedpao สาขา The Mall งามวงศ์วาน</t>
  </si>
  <si>
    <t>17</t>
  </si>
  <si>
    <t>Yuedpao สาขา Central จันทบุรี</t>
  </si>
  <si>
    <t>Yuedpao สาขา Future Park Rangsit (Flagship store)</t>
  </si>
  <si>
    <t>19</t>
  </si>
  <si>
    <t>20</t>
  </si>
  <si>
    <t>Yuedpao สาขา Central ระยอง</t>
  </si>
  <si>
    <t>21</t>
  </si>
  <si>
    <t>Yuedpao สาขา Central นครศรีธรรมราช</t>
  </si>
  <si>
    <t>23</t>
  </si>
  <si>
    <t>Yuedpao สาขา Central ปิ่นเกล้า</t>
  </si>
  <si>
    <t>24</t>
  </si>
  <si>
    <t>25</t>
  </si>
  <si>
    <t>Yuedpao สาขา The Mall บางแค</t>
  </si>
  <si>
    <t>26</t>
  </si>
  <si>
    <t>Yuedpao สาขา Central สมุย</t>
  </si>
  <si>
    <t>27</t>
  </si>
  <si>
    <t>Yuedpao สาขา Central ภูเก็ต</t>
  </si>
  <si>
    <t>28</t>
  </si>
  <si>
    <t>29</t>
  </si>
  <si>
    <t>Yuedpao สาขา Central อุดรธานี</t>
  </si>
  <si>
    <t>30</t>
  </si>
  <si>
    <t>Yuedpao สาขา Robinson ฉะเชิงเทรา</t>
  </si>
  <si>
    <t>31</t>
  </si>
  <si>
    <t>Yuedpao สาขา Central มหาชัย</t>
  </si>
  <si>
    <t>32</t>
  </si>
  <si>
    <t>Yuedpao สาขา Robinson สุพรรณบุรี</t>
  </si>
  <si>
    <t>34</t>
  </si>
  <si>
    <t>Yuedpao สาขา Central ลำปาง</t>
  </si>
  <si>
    <t>Yuedpao สาขา Central อยุธยา</t>
  </si>
  <si>
    <t>36</t>
  </si>
  <si>
    <t>Yuedpao สาขา Mega บางนา</t>
  </si>
  <si>
    <t>37</t>
  </si>
  <si>
    <t>Yuedpao สาขา Central พระราม 9</t>
  </si>
  <si>
    <t>38</t>
  </si>
  <si>
    <t>Yuedpao สาขา Central World</t>
  </si>
  <si>
    <t>39</t>
  </si>
  <si>
    <t>Yuedpao สาขา The Mall โคราช</t>
  </si>
  <si>
    <t>40</t>
  </si>
  <si>
    <t>Yuedpao สาขา Robinson ลพบุรี</t>
  </si>
  <si>
    <t>41</t>
  </si>
  <si>
    <t>42</t>
  </si>
  <si>
    <t>Yuedpao สาขา Central ชลบุรี</t>
  </si>
  <si>
    <t>43</t>
  </si>
  <si>
    <t>Yuedpao สาขา The Mall ท่าพระ</t>
  </si>
  <si>
    <t>44</t>
  </si>
  <si>
    <t>46</t>
  </si>
  <si>
    <t>Yuedpao สาขา Central พระราม 3</t>
  </si>
  <si>
    <t>47</t>
  </si>
  <si>
    <t>48</t>
  </si>
  <si>
    <t>Yuedpao สาขา Central ศรีราชา</t>
  </si>
  <si>
    <t>49</t>
  </si>
  <si>
    <t>50</t>
  </si>
  <si>
    <t>Yuedpao สาขา Robinson ราชพฤกษ์</t>
  </si>
  <si>
    <t>51</t>
  </si>
  <si>
    <t>Yuedpao สาขา Robinson บ้านฉาง</t>
  </si>
  <si>
    <t>52</t>
  </si>
  <si>
    <t>Yuedpao สาขา Central โคราช</t>
  </si>
  <si>
    <t>54</t>
  </si>
  <si>
    <t>55</t>
  </si>
  <si>
    <t>Yuedpao สาขา Robinson ฉลอง ภูเก็ต</t>
  </si>
  <si>
    <t>57</t>
  </si>
  <si>
    <t>59</t>
  </si>
  <si>
    <t>60</t>
  </si>
  <si>
    <t>61</t>
  </si>
  <si>
    <t>62</t>
  </si>
  <si>
    <t>64</t>
  </si>
  <si>
    <t>66</t>
  </si>
  <si>
    <t>Exported by</t>
  </si>
  <si>
    <t>janjoncj@gmail.com</t>
  </si>
  <si>
    <t>Date Time</t>
  </si>
  <si>
    <t>Yuedpao สาขา Central อุบลราชธานี</t>
  </si>
  <si>
    <t>Yuedpao สาขา Passione Shopping Destination ระยอง</t>
  </si>
  <si>
    <t>Yuedpao สาขา Central นครปฐม</t>
  </si>
  <si>
    <t>Yuedpao สาขา Seacon Square ศรีนครินทร์</t>
  </si>
  <si>
    <t>11</t>
  </si>
  <si>
    <t>15</t>
  </si>
  <si>
    <t>22</t>
  </si>
  <si>
    <t>45</t>
  </si>
  <si>
    <t>65</t>
  </si>
  <si>
    <t>67</t>
  </si>
  <si>
    <t>Yuedpao สาขา Market Village สุวรรณภูมิ</t>
  </si>
  <si>
    <t>68</t>
  </si>
  <si>
    <t>1</t>
  </si>
  <si>
    <t>คลังสินค้า Yuedpao Online</t>
  </si>
  <si>
    <t>8</t>
  </si>
  <si>
    <t>18</t>
  </si>
  <si>
    <t>คลังลูกค้าส่ง Yuedpao</t>
  </si>
  <si>
    <t>33</t>
  </si>
  <si>
    <t>35</t>
  </si>
  <si>
    <t>53</t>
  </si>
  <si>
    <t>56</t>
  </si>
  <si>
    <t>58</t>
  </si>
  <si>
    <t>63</t>
  </si>
  <si>
    <t>Yuedpao สาขา Robinson บุรีรัมย์</t>
  </si>
  <si>
    <t>69</t>
  </si>
  <si>
    <t>70</t>
  </si>
  <si>
    <t>TARGET +V7%</t>
  </si>
  <si>
    <t>Event Big C สุขสวัสดิ์</t>
  </si>
  <si>
    <t>Yuedpao สาขา Robinson ลาดกระบัง</t>
  </si>
  <si>
    <t>SALE OUT</t>
  </si>
  <si>
    <t>Yuedpao สาขา Robinson ปราจีนบุรี</t>
  </si>
  <si>
    <t>71</t>
  </si>
  <si>
    <t>72</t>
  </si>
  <si>
    <t>73</t>
  </si>
  <si>
    <t>SHOP</t>
  </si>
  <si>
    <t>74</t>
  </si>
  <si>
    <t>75</t>
  </si>
  <si>
    <t>คงเหลือ 110</t>
  </si>
  <si>
    <t>คงเหลือ 120</t>
  </si>
  <si>
    <t>0%</t>
  </si>
  <si>
    <t>คลังสินค้ารับคืน Yuedpao Online</t>
  </si>
  <si>
    <t>คลังสินค้าโล๊ะล้างสต๊อก(เสื้อตำหนิ)</t>
  </si>
  <si>
    <t>Yuedpao สาขา The Street รัชดา</t>
  </si>
  <si>
    <t>76</t>
  </si>
  <si>
    <t>77</t>
  </si>
  <si>
    <t>Yuedpao สาขา MAYA เชียงใหม่</t>
  </si>
  <si>
    <t>Yuedpao สาขา Imperial World สำโรง</t>
  </si>
  <si>
    <t>SALE +7%</t>
  </si>
  <si>
    <t>Yuedpao สาขา Robinson มุกดาหาร</t>
  </si>
  <si>
    <t>Event Central แจ้งวัฒนะ</t>
  </si>
  <si>
    <t>ยอดขาย</t>
  </si>
  <si>
    <t>AVL Sale</t>
  </si>
  <si>
    <t>Estimate</t>
  </si>
  <si>
    <t>Achieve</t>
  </si>
  <si>
    <t>Yuedpao สาขา Big C ยะลา</t>
  </si>
  <si>
    <t>Yuedpao สาขา Robinson ราชบุรี</t>
  </si>
  <si>
    <t>Yuedpao สาขา I am China Town</t>
  </si>
  <si>
    <t>0.64%</t>
  </si>
  <si>
    <t xml:space="preserve">TOTAL SAME STORE </t>
  </si>
  <si>
    <t>78</t>
  </si>
  <si>
    <t>79</t>
  </si>
  <si>
    <t>80</t>
  </si>
  <si>
    <t>81</t>
  </si>
  <si>
    <t>82</t>
  </si>
  <si>
    <t>TOTAL ALL STORE</t>
  </si>
  <si>
    <t>Target</t>
  </si>
  <si>
    <t>%Target</t>
  </si>
  <si>
    <t xml:space="preserve">Exchange Store </t>
  </si>
  <si>
    <t>Yuedpao สาขา Robinson สระบุรี</t>
  </si>
  <si>
    <t>Yuedpao สาขา Robinson ชลบุรี</t>
  </si>
  <si>
    <t>83</t>
  </si>
  <si>
    <t>ยอดรวม</t>
  </si>
  <si>
    <t>ยอดขายเฉลี่ยนต่อวัน</t>
  </si>
  <si>
    <t>Sale Estimate</t>
  </si>
  <si>
    <t>SALE OUT ESTIMATE</t>
  </si>
  <si>
    <t>84</t>
  </si>
  <si>
    <t>85</t>
  </si>
  <si>
    <t>86</t>
  </si>
  <si>
    <t>คลังโล๊ะล้างสต็อก Yuedpao สาขา SIAM SQUARE(เสื้อตำหนิ)</t>
  </si>
  <si>
    <t>คลังรับคืน สินค้าโล๊ะล้างสต๊อก(เสื้อตำหนิ)</t>
  </si>
  <si>
    <t>0.46%</t>
  </si>
  <si>
    <t>SALE OUT ESTIMATE +50%</t>
  </si>
  <si>
    <t xml:space="preserve"> </t>
  </si>
  <si>
    <t>Yuedpao สาขา Robinson ศรีสมาน</t>
  </si>
  <si>
    <t>0.45%</t>
  </si>
  <si>
    <t>Yuedpao สาขา Robinson ตรัง</t>
  </si>
  <si>
    <t>Yuedpao สาขา Robinson ชัยภูมิ</t>
  </si>
  <si>
    <t>Yuedpao สาขา Robinson ร้อยเอ็ด</t>
  </si>
  <si>
    <t>Yuedpao สาขา Central กระบี่</t>
  </si>
  <si>
    <t>Yuedpao สาขา The Mall งามวงศ์วาน (Sport Shop)</t>
  </si>
  <si>
    <t>87</t>
  </si>
  <si>
    <t>88</t>
  </si>
  <si>
    <t>89</t>
  </si>
  <si>
    <t>90</t>
  </si>
  <si>
    <t>91</t>
  </si>
  <si>
    <t>Yuedpao สาขา Robinson แม่สอด</t>
  </si>
  <si>
    <t>OPEN 01 NOV 2024</t>
  </si>
  <si>
    <t>Yuedpao สาขา Big C อำนาจเจริญ</t>
  </si>
  <si>
    <t>Yuedpao สาขา Big C ราชดำริ</t>
  </si>
  <si>
    <t>92</t>
  </si>
  <si>
    <t>93</t>
  </si>
  <si>
    <t>0.8%</t>
  </si>
  <si>
    <t>Event Bluport หัวหิน</t>
  </si>
  <si>
    <t>Yuedpao สาขา Robinson สมุทรปราการ</t>
  </si>
  <si>
    <t>Yuedpao สาขา Sermthai Complex มหาสารคาม</t>
  </si>
  <si>
    <t>Fulfillment Shopee</t>
  </si>
  <si>
    <t>0.47%</t>
  </si>
  <si>
    <t>คลังสินค้าหลัก Yuedpao</t>
  </si>
  <si>
    <t>94</t>
  </si>
  <si>
    <t>95</t>
  </si>
  <si>
    <t>96</t>
  </si>
  <si>
    <t>97</t>
  </si>
  <si>
    <t>98</t>
  </si>
  <si>
    <t>OPEN 01 AUN 2024</t>
  </si>
  <si>
    <t>REROCATE  16 DEC 2025</t>
  </si>
  <si>
    <t>OPEN 20 DEC 2024</t>
  </si>
  <si>
    <t>OPEN 01 JUN 2024</t>
  </si>
  <si>
    <t>OPEN 15 NOV 2024</t>
  </si>
  <si>
    <t>REROCATE  01 DEC 2024</t>
  </si>
  <si>
    <t>REROCATE  05 FEB 2024</t>
  </si>
  <si>
    <t>Yuedpao สาขา Robinson ถลาง ภูเก็ต</t>
  </si>
  <si>
    <t>0.68%</t>
  </si>
  <si>
    <t>0.65%</t>
  </si>
  <si>
    <t>0.71%</t>
  </si>
  <si>
    <t>0.54%</t>
  </si>
  <si>
    <t>0.33%</t>
  </si>
  <si>
    <t>Yuedpao สาขา Lotus สามกอง ภูเก็ต</t>
  </si>
  <si>
    <t>0.48%</t>
  </si>
  <si>
    <t>0.37%</t>
  </si>
  <si>
    <t>0.4%</t>
  </si>
  <si>
    <t>0.7%</t>
  </si>
  <si>
    <t>0.01%</t>
  </si>
  <si>
    <t>Yuedpao สาขา Sahathai สุราษฎร์ธานี</t>
  </si>
  <si>
    <t>0.67%</t>
  </si>
  <si>
    <t>0.59%</t>
  </si>
  <si>
    <t>0.38%</t>
  </si>
  <si>
    <t>0.27%</t>
  </si>
  <si>
    <t>คลังลูกค้าส่ง Yuedpao 2</t>
  </si>
  <si>
    <t>0.44%</t>
  </si>
  <si>
    <t>0.12%</t>
  </si>
  <si>
    <t>0.6%</t>
  </si>
  <si>
    <t>0.23%</t>
  </si>
  <si>
    <t>0.18%</t>
  </si>
  <si>
    <t>0.72%</t>
  </si>
  <si>
    <t>0.89%</t>
  </si>
  <si>
    <t>0.87%</t>
  </si>
  <si>
    <t>0.49%</t>
  </si>
  <si>
    <t>0.42%</t>
  </si>
  <si>
    <t>Event Pet Variety CNX</t>
  </si>
  <si>
    <t>Event Vogue กระบี่</t>
  </si>
  <si>
    <t>0.16%</t>
  </si>
  <si>
    <t>MAR'2026</t>
  </si>
  <si>
    <t>Event Major รัชโยธิน</t>
  </si>
  <si>
    <t>0.32%</t>
  </si>
  <si>
    <t>T-PET x T-POP FESTIVAL 2569</t>
  </si>
  <si>
    <t>0.88%</t>
  </si>
  <si>
    <t>23-29</t>
  </si>
  <si>
    <t>Yuedpao สาขา Central แจ้งวัฒนะ</t>
  </si>
  <si>
    <t>Yuedpao สาขา Robinson กำแพงเพชร</t>
  </si>
  <si>
    <t>0.78%</t>
  </si>
  <si>
    <t>0.57%</t>
  </si>
  <si>
    <t>Event Robinson สกลนคร</t>
  </si>
  <si>
    <t>0.66%</t>
  </si>
  <si>
    <t>0.58%</t>
  </si>
  <si>
    <t>0.53%</t>
  </si>
  <si>
    <t>0.39%</t>
  </si>
  <si>
    <t>0.31%</t>
  </si>
  <si>
    <t>Event Robinson ตรัง</t>
  </si>
  <si>
    <t>Yuedpao สินค้าสั่งผลิต</t>
  </si>
  <si>
    <t>0.43%</t>
  </si>
  <si>
    <t>0.29%</t>
  </si>
  <si>
    <t>Event Central โคราช</t>
  </si>
  <si>
    <t>0.95%</t>
  </si>
  <si>
    <t>0.52%</t>
  </si>
  <si>
    <t>0.75%</t>
  </si>
  <si>
    <t>0.55%</t>
  </si>
  <si>
    <t>0.74%</t>
  </si>
  <si>
    <t>0.17%</t>
  </si>
  <si>
    <t>Event Fashion Island</t>
  </si>
  <si>
    <t>0.04%</t>
  </si>
  <si>
    <t>1.05%</t>
  </si>
  <si>
    <t>0.79%</t>
  </si>
  <si>
    <t>0.35%</t>
  </si>
  <si>
    <t>Event งานสัปดาห์หนังสือแห่งชาติ ครั้งที่ 54</t>
  </si>
  <si>
    <t>Yuedpao สาขา Robinson กาญจนบุรี</t>
  </si>
  <si>
    <t>0.28%</t>
  </si>
  <si>
    <t>1.21%</t>
  </si>
  <si>
    <t>0.61%</t>
  </si>
  <si>
    <t>0.97%</t>
  </si>
  <si>
    <t>0.2%</t>
  </si>
  <si>
    <t>ว่าง (คลังเก่าคือ Event Vogue กระบี่)</t>
  </si>
  <si>
    <t>1.09%</t>
  </si>
  <si>
    <t>0.92%</t>
  </si>
  <si>
    <t>0.26%</t>
  </si>
  <si>
    <t>0.98%</t>
  </si>
  <si>
    <t>0.73%</t>
  </si>
  <si>
    <t>0.51%</t>
  </si>
  <si>
    <t>1.63%</t>
  </si>
  <si>
    <t>1.25%</t>
  </si>
  <si>
    <t>0.96%</t>
  </si>
  <si>
    <t>Event Robinson สุรินทร์</t>
  </si>
  <si>
    <t>1.2%</t>
  </si>
  <si>
    <t>1.16%</t>
  </si>
  <si>
    <t>0.14%</t>
  </si>
  <si>
    <t>0.63%</t>
  </si>
  <si>
    <t>0.62%</t>
  </si>
  <si>
    <t>Yuedpao สาขา อยุธยา City Park</t>
  </si>
  <si>
    <t>0.34%</t>
  </si>
  <si>
    <t>0.3%</t>
  </si>
  <si>
    <t>Event The mall งามวงศ์วาน</t>
  </si>
  <si>
    <t>0.19%</t>
  </si>
  <si>
    <t>1.03%</t>
  </si>
  <si>
    <t>0.41%</t>
  </si>
  <si>
    <t>0.05%</t>
  </si>
  <si>
    <t>Event Center one</t>
  </si>
  <si>
    <t>1.52%</t>
  </si>
  <si>
    <t>1.3%</t>
  </si>
  <si>
    <t>1.19%</t>
  </si>
  <si>
    <t>1.06%</t>
  </si>
  <si>
    <t>0.93%</t>
  </si>
  <si>
    <t>0.84%</t>
  </si>
  <si>
    <t>Event Pacific park</t>
  </si>
  <si>
    <t>Event Artifact</t>
  </si>
  <si>
    <t>ว่าง</t>
  </si>
  <si>
    <t>TARGET APR 2026</t>
  </si>
  <si>
    <t>30-05</t>
  </si>
  <si>
    <t>1.18%</t>
  </si>
  <si>
    <t>1.02%</t>
  </si>
  <si>
    <t>0.77%</t>
  </si>
  <si>
    <t>0.25%</t>
  </si>
  <si>
    <t>0.22%</t>
  </si>
  <si>
    <t>Event Central Hatyai</t>
  </si>
  <si>
    <t>คลังเก่าคือ Event Central Hatyai</t>
  </si>
  <si>
    <t>Event Big C พระราม 2</t>
  </si>
  <si>
    <t>99</t>
  </si>
  <si>
    <t>-0.01%</t>
  </si>
  <si>
    <t>100</t>
  </si>
  <si>
    <t>ยอดขายรายคลัง|สาขา 1/4/2568 - 12/4/2568</t>
  </si>
  <si>
    <t>37.74%</t>
  </si>
  <si>
    <t>2.94%</t>
  </si>
  <si>
    <t>1.88%</t>
  </si>
  <si>
    <t>1.78%</t>
  </si>
  <si>
    <t>1.73%</t>
  </si>
  <si>
    <t>1.58%</t>
  </si>
  <si>
    <t>1.41%</t>
  </si>
  <si>
    <t>1.38%</t>
  </si>
  <si>
    <t>1.32%</t>
  </si>
  <si>
    <t>1.14%</t>
  </si>
  <si>
    <t>1.12%</t>
  </si>
  <si>
    <t>1.1%</t>
  </si>
  <si>
    <t>1.04%</t>
  </si>
  <si>
    <t>0.85%</t>
  </si>
  <si>
    <t>0.83%</t>
  </si>
  <si>
    <t>0.81%</t>
  </si>
  <si>
    <t>0.36%</t>
  </si>
  <si>
    <t>-0.4%</t>
  </si>
  <si>
    <t>12/4/2026 18:57+07:00</t>
  </si>
  <si>
    <t>ยอดขายรายคลัง|สาขา 1/3/2569 - 12/3/2569</t>
  </si>
  <si>
    <t>53.28%</t>
  </si>
  <si>
    <t>0.1%</t>
  </si>
  <si>
    <t>Event Central บางนา</t>
  </si>
  <si>
    <t>-1.15%</t>
  </si>
  <si>
    <t>12/4/2026 18:59+07:00</t>
  </si>
  <si>
    <t>ยอดขายรายคลัง|สาขา 1/4/2569 - 12/4/2569</t>
  </si>
  <si>
    <t>1.37%</t>
  </si>
  <si>
    <t>1.35%</t>
  </si>
  <si>
    <t>0.06%</t>
  </si>
  <si>
    <t>01-12 APR 2026</t>
  </si>
  <si>
    <t>48.04%</t>
  </si>
  <si>
    <t>1.24%</t>
  </si>
  <si>
    <t>0.99%</t>
  </si>
  <si>
    <t>-1.13%</t>
  </si>
  <si>
    <t>13/4/2026 11:27+07:00</t>
  </si>
  <si>
    <t>APR'2026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</si>
</sst>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87" formatCode="_(* #,##0_);_(* \(#,##0\);_(* &quot;-&quot;??_);_(@_)"/>
    <numFmt numFmtId="188" formatCode="&quot;฿&quot;#,##0.00"/>
    <numFmt numFmtId="189" formatCode="[Blue]#,##0.00;[Red]\(#,##0.00\);[Black]0.00"/>
    <numFmt numFmtId="191" formatCode="0.00%;[Red]\-0.00%"/>
    <numFmt numFmtId="192" formatCode="#,000;[Red]\-#,000"/>
  </numFmts>
  <fonts count="21" x14ac:knownFonts="1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Helvetica Neue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name val="Tahoma"/>
      <family val="2"/>
    </font>
    <font>
      <b/>
      <sz val="14"/>
      <color rgb="FFFF0000"/>
      <name val="Tahoma"/>
      <family val="2"/>
    </font>
    <font>
      <b/>
      <sz val="14"/>
      <color rgb="FF000000"/>
      <name val="Tahoma"/>
      <family val="2"/>
    </font>
    <font>
      <b/>
      <sz val="14"/>
      <color theme="0"/>
      <name val="Tahoma"/>
      <family val="2"/>
    </font>
    <font>
      <b/>
      <sz val="14"/>
      <color rgb="FF0100D5"/>
      <name val="Tahoma"/>
      <family val="2"/>
    </font>
    <font>
      <b/>
      <sz val="12"/>
      <color rgb="FFFF0000"/>
      <name val="Tahoma"/>
      <family val="2"/>
    </font>
    <font>
      <b/>
      <sz val="18"/>
      <name val="Tahoma"/>
      <family val="2"/>
    </font>
    <font>
      <b/>
      <sz val="16"/>
      <color theme="1"/>
      <name val="Tahoma"/>
      <family val="2"/>
    </font>
    <font>
      <sz val="12"/>
      <color theme="1"/>
      <name val="Arial"/>
      <family val="2"/>
    </font>
    <font>
      <b/>
      <sz val="14"/>
      <color theme="4"/>
      <name val="Tahoma"/>
      <family val="2"/>
    </font>
    <font>
      <b/>
      <sz val="16"/>
      <color rgb="FFFF0000"/>
      <name val="Tahoma"/>
      <family val="2"/>
    </font>
    <font>
      <b/>
      <sz val="12"/>
      <color theme="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EBF9F1"/>
        <bgColor indexed="64"/>
      </patternFill>
    </fill>
    <fill>
      <patternFill patternType="solid">
        <fgColor rgb="FFECFA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DFBF3"/>
        <bgColor indexed="64"/>
      </patternFill>
    </fill>
    <fill>
      <patternFill patternType="solid">
        <fgColor rgb="FFEEFCF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67">
    <xf numFmtId="0" fontId="0" fillId="0" borderId="0" xfId="0"/>
    <xf numFmtId="0" fontId="4" fillId="5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8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4" borderId="0" xfId="0" applyFont="1" applyFill="1"/>
    <xf numFmtId="0" fontId="7" fillId="9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87" fontId="7" fillId="0" borderId="4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43" fontId="7" fillId="0" borderId="4" xfId="1" applyFont="1" applyFill="1" applyBorder="1" applyAlignment="1">
      <alignment vertical="center"/>
    </xf>
    <xf numFmtId="187" fontId="7" fillId="9" borderId="4" xfId="1" applyNumberFormat="1" applyFont="1" applyFill="1" applyBorder="1" applyAlignment="1">
      <alignment vertical="center"/>
    </xf>
    <xf numFmtId="3" fontId="7" fillId="9" borderId="4" xfId="0" applyNumberFormat="1" applyFont="1" applyFill="1" applyBorder="1" applyAlignment="1">
      <alignment vertical="center"/>
    </xf>
    <xf numFmtId="43" fontId="7" fillId="9" borderId="4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187" fontId="8" fillId="3" borderId="4" xfId="0" applyNumberFormat="1" applyFont="1" applyFill="1" applyBorder="1" applyAlignment="1">
      <alignment horizontal="left" vertical="center"/>
    </xf>
    <xf numFmtId="187" fontId="9" fillId="3" borderId="4" xfId="1" applyNumberFormat="1" applyFont="1" applyFill="1" applyBorder="1" applyAlignment="1">
      <alignment vertical="center"/>
    </xf>
    <xf numFmtId="187" fontId="9" fillId="0" borderId="4" xfId="0" applyNumberFormat="1" applyFont="1" applyBorder="1" applyAlignment="1">
      <alignment horizontal="center" vertical="center"/>
    </xf>
    <xf numFmtId="191" fontId="9" fillId="3" borderId="4" xfId="0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horizontal="center" vertical="center"/>
    </xf>
    <xf numFmtId="187" fontId="9" fillId="8" borderId="4" xfId="1" applyNumberFormat="1" applyFont="1" applyFill="1" applyBorder="1" applyAlignment="1">
      <alignment vertical="center"/>
    </xf>
    <xf numFmtId="3" fontId="9" fillId="0" borderId="4" xfId="1" applyNumberFormat="1" applyFont="1" applyFill="1" applyBorder="1" applyAlignment="1">
      <alignment vertical="center"/>
    </xf>
    <xf numFmtId="10" fontId="9" fillId="0" borderId="4" xfId="5" applyNumberFormat="1" applyFont="1" applyFill="1" applyBorder="1" applyAlignment="1">
      <alignment vertical="center"/>
    </xf>
    <xf numFmtId="187" fontId="9" fillId="0" borderId="4" xfId="1" applyNumberFormat="1" applyFont="1" applyFill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10" fontId="8" fillId="3" borderId="4" xfId="5" applyNumberFormat="1" applyFont="1" applyFill="1" applyBorder="1" applyAlignment="1">
      <alignment vertical="center"/>
    </xf>
    <xf numFmtId="187" fontId="9" fillId="10" borderId="4" xfId="1" applyNumberFormat="1" applyFont="1" applyFill="1" applyBorder="1" applyAlignment="1">
      <alignment vertical="center"/>
    </xf>
    <xf numFmtId="187" fontId="8" fillId="0" borderId="4" xfId="1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92" fontId="8" fillId="0" borderId="4" xfId="1" applyNumberFormat="1" applyFont="1" applyFill="1" applyBorder="1" applyAlignment="1">
      <alignment vertical="center"/>
    </xf>
    <xf numFmtId="191" fontId="9" fillId="0" borderId="4" xfId="0" applyNumberFormat="1" applyFont="1" applyBorder="1" applyAlignment="1">
      <alignment vertical="center"/>
    </xf>
    <xf numFmtId="0" fontId="8" fillId="0" borderId="0" xfId="0" applyFont="1"/>
    <xf numFmtId="3" fontId="8" fillId="0" borderId="0" xfId="0" applyNumberFormat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188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16" fontId="8" fillId="0" borderId="0" xfId="0" quotePrefix="1" applyNumberFormat="1" applyFont="1" applyAlignment="1">
      <alignment horizontal="center"/>
    </xf>
    <xf numFmtId="187" fontId="10" fillId="0" borderId="0" xfId="1" applyNumberFormat="1" applyFont="1" applyAlignment="1">
      <alignment horizontal="right"/>
    </xf>
    <xf numFmtId="10" fontId="10" fillId="3" borderId="0" xfId="0" applyNumberFormat="1" applyFont="1" applyFill="1"/>
    <xf numFmtId="0" fontId="8" fillId="3" borderId="0" xfId="0" applyFont="1" applyFill="1"/>
    <xf numFmtId="187" fontId="8" fillId="3" borderId="0" xfId="1" applyNumberFormat="1" applyFont="1" applyFill="1"/>
    <xf numFmtId="187" fontId="8" fillId="3" borderId="0" xfId="0" applyNumberFormat="1" applyFont="1" applyFill="1"/>
    <xf numFmtId="4" fontId="10" fillId="3" borderId="0" xfId="1" applyNumberFormat="1" applyFont="1" applyFill="1"/>
    <xf numFmtId="10" fontId="8" fillId="3" borderId="0" xfId="5" applyNumberFormat="1" applyFont="1" applyFill="1"/>
    <xf numFmtId="4" fontId="8" fillId="3" borderId="0" xfId="1" applyNumberFormat="1" applyFont="1" applyFill="1"/>
    <xf numFmtId="9" fontId="8" fillId="0" borderId="0" xfId="5" applyFont="1"/>
    <xf numFmtId="0" fontId="12" fillId="7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7" fontId="8" fillId="0" borderId="0" xfId="1" applyNumberFormat="1" applyFont="1"/>
    <xf numFmtId="3" fontId="10" fillId="0" borderId="0" xfId="1" applyNumberFormat="1" applyFont="1"/>
    <xf numFmtId="10" fontId="8" fillId="0" borderId="0" xfId="5" applyNumberFormat="1" applyFont="1"/>
    <xf numFmtId="0" fontId="9" fillId="6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/>
    <xf numFmtId="187" fontId="8" fillId="0" borderId="4" xfId="0" applyNumberFormat="1" applyFont="1" applyBorder="1"/>
    <xf numFmtId="3" fontId="8" fillId="0" borderId="0" xfId="1" applyNumberFormat="1" applyFont="1"/>
    <xf numFmtId="0" fontId="11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0" fontId="9" fillId="12" borderId="4" xfId="1" applyNumberFormat="1" applyFont="1" applyFill="1" applyBorder="1" applyAlignment="1">
      <alignment horizontal="center" vertical="center"/>
    </xf>
    <xf numFmtId="10" fontId="9" fillId="13" borderId="4" xfId="1" applyNumberFormat="1" applyFont="1" applyFill="1" applyBorder="1" applyAlignment="1">
      <alignment horizontal="center" vertical="center"/>
    </xf>
    <xf numFmtId="10" fontId="15" fillId="0" borderId="4" xfId="5" applyNumberFormat="1" applyFont="1" applyFill="1" applyBorder="1" applyAlignment="1">
      <alignment vertical="center"/>
    </xf>
    <xf numFmtId="10" fontId="9" fillId="15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9" fillId="0" borderId="4" xfId="1" applyNumberFormat="1" applyFont="1" applyFill="1" applyBorder="1" applyAlignment="1">
      <alignment horizontal="center" vertical="center"/>
    </xf>
    <xf numFmtId="191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14" borderId="0" xfId="0" applyFill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top"/>
    </xf>
    <xf numFmtId="9" fontId="16" fillId="9" borderId="3" xfId="0" applyNumberFormat="1" applyFont="1" applyFill="1" applyBorder="1" applyAlignment="1">
      <alignment horizontal="center" vertical="center"/>
    </xf>
    <xf numFmtId="9" fontId="16" fillId="9" borderId="4" xfId="0" applyNumberFormat="1" applyFont="1" applyFill="1" applyBorder="1" applyAlignment="1">
      <alignment horizontal="center" vertical="center"/>
    </xf>
    <xf numFmtId="10" fontId="16" fillId="9" borderId="4" xfId="1" applyNumberFormat="1" applyFont="1" applyFill="1" applyBorder="1" applyAlignment="1">
      <alignment horizontal="center" vertical="center" wrapText="1"/>
    </xf>
    <xf numFmtId="0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quotePrefix="1" applyNumberFormat="1" applyFont="1" applyFill="1" applyBorder="1" applyAlignment="1">
      <alignment horizontal="center" vertical="center" wrapText="1"/>
    </xf>
    <xf numFmtId="49" fontId="16" fillId="9" borderId="4" xfId="1" quotePrefix="1" applyNumberFormat="1" applyFont="1" applyFill="1" applyBorder="1" applyAlignment="1">
      <alignment horizontal="center" vertical="center" wrapText="1"/>
    </xf>
    <xf numFmtId="43" fontId="7" fillId="0" borderId="4" xfId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43" fontId="7" fillId="11" borderId="4" xfId="1" applyFont="1" applyFill="1" applyBorder="1" applyAlignment="1">
      <alignment vertical="center"/>
    </xf>
    <xf numFmtId="43" fontId="7" fillId="11" borderId="4" xfId="0" applyNumberFormat="1" applyFont="1" applyFill="1" applyBorder="1" applyAlignment="1">
      <alignment vertical="center"/>
    </xf>
    <xf numFmtId="10" fontId="7" fillId="11" borderId="4" xfId="5" applyNumberFormat="1" applyFont="1" applyFill="1" applyBorder="1" applyAlignment="1">
      <alignment vertical="center"/>
    </xf>
    <xf numFmtId="10" fontId="15" fillId="9" borderId="4" xfId="5" applyNumberFormat="1" applyFont="1" applyFill="1" applyBorder="1" applyAlignment="1">
      <alignment vertical="center"/>
    </xf>
    <xf numFmtId="10" fontId="7" fillId="0" borderId="4" xfId="5" applyNumberFormat="1" applyFont="1" applyFill="1" applyBorder="1" applyAlignment="1">
      <alignment vertical="center"/>
    </xf>
    <xf numFmtId="187" fontId="8" fillId="0" borderId="0" xfId="0" applyNumberFormat="1" applyFont="1"/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10" fontId="10" fillId="0" borderId="4" xfId="5" applyNumberFormat="1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/>
    </xf>
    <xf numFmtId="0" fontId="6" fillId="0" borderId="0" xfId="0" applyFont="1"/>
    <xf numFmtId="0" fontId="17" fillId="0" borderId="0" xfId="0" applyFont="1"/>
    <xf numFmtId="43" fontId="8" fillId="0" borderId="0" xfId="0" applyNumberFormat="1" applyFont="1" applyAlignment="1">
      <alignment vertical="center"/>
    </xf>
    <xf numFmtId="188" fontId="14" fillId="0" borderId="0" xfId="1" applyNumberFormat="1" applyFont="1" applyAlignment="1">
      <alignment horizontal="right" vertical="center"/>
    </xf>
    <xf numFmtId="10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3" fontId="10" fillId="0" borderId="4" xfId="1" applyNumberFormat="1" applyFont="1" applyBorder="1" applyAlignment="1">
      <alignment vertical="center"/>
    </xf>
    <xf numFmtId="3" fontId="6" fillId="0" borderId="0" xfId="0" applyNumberFormat="1" applyFont="1"/>
    <xf numFmtId="3" fontId="9" fillId="0" borderId="4" xfId="1" applyNumberFormat="1" applyFont="1" applyFill="1" applyBorder="1" applyAlignment="1">
      <alignment horizontal="right" vertical="center"/>
    </xf>
    <xf numFmtId="191" fontId="9" fillId="0" borderId="4" xfId="5" applyNumberFormat="1" applyFont="1" applyFill="1" applyBorder="1" applyAlignment="1">
      <alignment vertical="center"/>
    </xf>
    <xf numFmtId="187" fontId="11" fillId="0" borderId="4" xfId="1" applyNumberFormat="1" applyFont="1" applyFill="1" applyBorder="1" applyAlignment="1">
      <alignment vertical="center"/>
    </xf>
    <xf numFmtId="3" fontId="10" fillId="0" borderId="4" xfId="1" applyNumberFormat="1" applyFont="1" applyFill="1" applyBorder="1" applyAlignment="1">
      <alignment horizontal="right" vertical="center"/>
    </xf>
    <xf numFmtId="187" fontId="8" fillId="0" borderId="0" xfId="0" applyNumberFormat="1" applyFont="1" applyAlignment="1">
      <alignment horizontal="center" vertical="center"/>
    </xf>
    <xf numFmtId="3" fontId="8" fillId="0" borderId="4" xfId="1" applyNumberFormat="1" applyFont="1" applyFill="1" applyBorder="1" applyAlignment="1">
      <alignment horizontal="right" vertical="center"/>
    </xf>
    <xf numFmtId="0" fontId="16" fillId="9" borderId="4" xfId="0" applyFont="1" applyFill="1" applyBorder="1" applyAlignment="1">
      <alignment horizontal="center" vertical="center" wrapText="1"/>
    </xf>
    <xf numFmtId="187" fontId="11" fillId="16" borderId="4" xfId="1" applyNumberFormat="1" applyFont="1" applyFill="1" applyBorder="1" applyAlignment="1">
      <alignment vertical="center"/>
    </xf>
    <xf numFmtId="3" fontId="9" fillId="0" borderId="4" xfId="1" applyNumberFormat="1" applyFont="1" applyBorder="1" applyAlignment="1">
      <alignment vertical="center"/>
    </xf>
    <xf numFmtId="10" fontId="9" fillId="0" borderId="4" xfId="5" applyNumberFormat="1" applyFont="1" applyFill="1" applyBorder="1" applyAlignment="1">
      <alignment horizontal="right" vertical="center"/>
    </xf>
    <xf numFmtId="187" fontId="8" fillId="2" borderId="4" xfId="1" applyNumberFormat="1" applyFont="1" applyFill="1" applyBorder="1" applyAlignment="1">
      <alignment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87" fontId="8" fillId="9" borderId="4" xfId="0" applyNumberFormat="1" applyFont="1" applyFill="1" applyBorder="1" applyAlignment="1">
      <alignment horizontal="left" vertical="center"/>
    </xf>
    <xf numFmtId="187" fontId="8" fillId="9" borderId="4" xfId="1" applyNumberFormat="1" applyFont="1" applyFill="1" applyBorder="1" applyAlignment="1">
      <alignment vertical="center"/>
    </xf>
    <xf numFmtId="1" fontId="8" fillId="9" borderId="4" xfId="1" applyNumberFormat="1" applyFont="1" applyFill="1" applyBorder="1" applyAlignment="1">
      <alignment horizontal="center" vertical="center"/>
    </xf>
    <xf numFmtId="10" fontId="8" fillId="9" borderId="4" xfId="5" applyNumberFormat="1" applyFont="1" applyFill="1" applyBorder="1" applyAlignment="1">
      <alignment vertical="center"/>
    </xf>
    <xf numFmtId="10" fontId="8" fillId="9" borderId="4" xfId="5" applyNumberFormat="1" applyFont="1" applyFill="1" applyBorder="1" applyAlignment="1">
      <alignment horizontal="center" vertical="center"/>
    </xf>
    <xf numFmtId="3" fontId="8" fillId="9" borderId="4" xfId="1" applyNumberFormat="1" applyFont="1" applyFill="1" applyBorder="1" applyAlignment="1">
      <alignment vertical="center"/>
    </xf>
    <xf numFmtId="9" fontId="8" fillId="9" borderId="4" xfId="5" applyFont="1" applyFill="1" applyBorder="1" applyAlignment="1">
      <alignment vertical="center"/>
    </xf>
    <xf numFmtId="3" fontId="8" fillId="9" borderId="4" xfId="1" applyNumberFormat="1" applyFont="1" applyFill="1" applyBorder="1" applyAlignment="1">
      <alignment horizontal="right" vertical="center"/>
    </xf>
    <xf numFmtId="191" fontId="8" fillId="9" borderId="4" xfId="5" applyNumberFormat="1" applyFont="1" applyFill="1" applyBorder="1" applyAlignment="1">
      <alignment vertical="center"/>
    </xf>
    <xf numFmtId="10" fontId="8" fillId="9" borderId="4" xfId="5" applyNumberFormat="1" applyFont="1" applyFill="1" applyBorder="1" applyAlignment="1">
      <alignment horizontal="right" vertical="center"/>
    </xf>
    <xf numFmtId="0" fontId="8" fillId="9" borderId="4" xfId="0" applyFont="1" applyFill="1" applyBorder="1" applyAlignment="1">
      <alignment horizontal="center" vertical="center"/>
    </xf>
    <xf numFmtId="187" fontId="8" fillId="9" borderId="4" xfId="0" applyNumberFormat="1" applyFont="1" applyFill="1" applyBorder="1" applyAlignment="1">
      <alignment vertical="center"/>
    </xf>
    <xf numFmtId="191" fontId="8" fillId="9" borderId="4" xfId="0" applyNumberFormat="1" applyFont="1" applyFill="1" applyBorder="1" applyAlignment="1">
      <alignment vertical="center"/>
    </xf>
    <xf numFmtId="4" fontId="8" fillId="9" borderId="4" xfId="1" applyNumberFormat="1" applyFont="1" applyFill="1" applyBorder="1" applyAlignment="1">
      <alignment horizontal="center" vertical="center"/>
    </xf>
    <xf numFmtId="3" fontId="8" fillId="9" borderId="4" xfId="5" applyNumberFormat="1" applyFont="1" applyFill="1" applyBorder="1" applyAlignment="1">
      <alignment vertical="center"/>
    </xf>
    <xf numFmtId="187" fontId="8" fillId="9" borderId="4" xfId="5" applyNumberFormat="1" applyFont="1" applyFill="1" applyBorder="1" applyAlignment="1">
      <alignment vertical="center"/>
    </xf>
    <xf numFmtId="10" fontId="8" fillId="9" borderId="4" xfId="0" applyNumberFormat="1" applyFont="1" applyFill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187" fontId="8" fillId="14" borderId="4" xfId="0" applyNumberFormat="1" applyFont="1" applyFill="1" applyBorder="1" applyAlignment="1">
      <alignment horizontal="left" vertical="center"/>
    </xf>
    <xf numFmtId="187" fontId="8" fillId="14" borderId="4" xfId="1" applyNumberFormat="1" applyFont="1" applyFill="1" applyBorder="1" applyAlignment="1">
      <alignment vertical="center"/>
    </xf>
    <xf numFmtId="1" fontId="8" fillId="14" borderId="4" xfId="0" applyNumberFormat="1" applyFont="1" applyFill="1" applyBorder="1" applyAlignment="1">
      <alignment horizontal="center" vertical="center"/>
    </xf>
    <xf numFmtId="187" fontId="8" fillId="14" borderId="4" xfId="0" applyNumberFormat="1" applyFont="1" applyFill="1" applyBorder="1" applyAlignment="1">
      <alignment horizontal="center" vertical="center"/>
    </xf>
    <xf numFmtId="191" fontId="8" fillId="14" borderId="4" xfId="0" applyNumberFormat="1" applyFont="1" applyFill="1" applyBorder="1" applyAlignment="1">
      <alignment vertical="center"/>
    </xf>
    <xf numFmtId="3" fontId="8" fillId="14" borderId="4" xfId="1" applyNumberFormat="1" applyFont="1" applyFill="1" applyBorder="1" applyAlignment="1">
      <alignment vertical="center"/>
    </xf>
    <xf numFmtId="10" fontId="8" fillId="14" borderId="4" xfId="5" applyNumberFormat="1" applyFont="1" applyFill="1" applyBorder="1" applyAlignment="1">
      <alignment vertical="center"/>
    </xf>
    <xf numFmtId="4" fontId="8" fillId="14" borderId="4" xfId="0" applyNumberFormat="1" applyFont="1" applyFill="1" applyBorder="1" applyAlignment="1">
      <alignment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0" xfId="0" applyFont="1" applyFill="1" applyAlignment="1">
      <alignment vertical="center"/>
    </xf>
    <xf numFmtId="0" fontId="16" fillId="14" borderId="4" xfId="0" applyFont="1" applyFill="1" applyBorder="1" applyAlignment="1">
      <alignment vertical="center"/>
    </xf>
    <xf numFmtId="187" fontId="7" fillId="14" borderId="4" xfId="1" applyNumberFormat="1" applyFont="1" applyFill="1" applyBorder="1" applyAlignment="1">
      <alignment vertical="center"/>
    </xf>
    <xf numFmtId="3" fontId="7" fillId="14" borderId="4" xfId="0" applyNumberFormat="1" applyFont="1" applyFill="1" applyBorder="1" applyAlignment="1">
      <alignment vertical="center"/>
    </xf>
    <xf numFmtId="43" fontId="7" fillId="14" borderId="4" xfId="1" applyFont="1" applyFill="1" applyBorder="1" applyAlignment="1">
      <alignment vertical="center"/>
    </xf>
    <xf numFmtId="10" fontId="7" fillId="14" borderId="4" xfId="5" applyNumberFormat="1" applyFont="1" applyFill="1" applyBorder="1" applyAlignment="1">
      <alignment vertical="center"/>
    </xf>
    <xf numFmtId="191" fontId="8" fillId="0" borderId="4" xfId="5" applyNumberFormat="1" applyFont="1" applyFill="1" applyBorder="1" applyAlignment="1">
      <alignment vertical="center"/>
    </xf>
    <xf numFmtId="0" fontId="10" fillId="0" borderId="5" xfId="0" applyFont="1" applyBorder="1" applyAlignment="1">
      <alignment horizontal="center"/>
    </xf>
    <xf numFmtId="0" fontId="16" fillId="9" borderId="4" xfId="2" applyFont="1" applyFill="1" applyBorder="1" applyAlignment="1">
      <alignment horizontal="center" vertical="center" wrapText="1"/>
    </xf>
    <xf numFmtId="49" fontId="16" fillId="9" borderId="1" xfId="2" applyNumberFormat="1" applyFont="1" applyFill="1" applyBorder="1" applyAlignment="1">
      <alignment horizontal="center" vertical="center" wrapText="1"/>
    </xf>
    <xf numFmtId="49" fontId="16" fillId="9" borderId="2" xfId="2" applyNumberFormat="1" applyFont="1" applyFill="1" applyBorder="1" applyAlignment="1">
      <alignment horizontal="center" vertical="center" wrapText="1"/>
    </xf>
    <xf numFmtId="49" fontId="16" fillId="9" borderId="3" xfId="2" applyNumberFormat="1" applyFont="1" applyFill="1" applyBorder="1" applyAlignment="1">
      <alignment horizontal="center" vertical="center" wrapText="1"/>
    </xf>
    <xf numFmtId="0" fontId="16" fillId="9" borderId="4" xfId="2" applyFont="1" applyFill="1" applyBorder="1" applyAlignment="1">
      <alignment horizontal="center" vertical="center"/>
    </xf>
    <xf numFmtId="0" fontId="16" fillId="9" borderId="6" xfId="2" applyFont="1" applyFill="1" applyBorder="1" applyAlignment="1">
      <alignment horizontal="center" vertical="center" wrapText="1"/>
    </xf>
    <xf numFmtId="0" fontId="16" fillId="9" borderId="7" xfId="2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187" fontId="13" fillId="2" borderId="4" xfId="1" applyNumberFormat="1" applyFont="1" applyFill="1" applyBorder="1" applyAlignment="1">
      <alignment vertical="center"/>
    </xf>
    <xf numFmtId="0" fontId="12" fillId="7" borderId="4" xfId="0" applyFont="1" applyFill="1" applyBorder="1" applyAlignment="1">
      <alignment horizontal="center"/>
    </xf>
  </cellXfs>
  <cellStyles count="10">
    <cellStyle name="จุลภาค" xfId="1" builtinId="3"/>
    <cellStyle name="จุลภาค 2" xfId="8" xr:uid="{7F933E35-88C9-1644-A8B0-D15073D4EA9E}"/>
    <cellStyle name="จุลภาค 3" xfId="6" xr:uid="{EC511DF7-7E71-FA4D-86E6-F669E89844E9}"/>
    <cellStyle name="จุลภาค 3 2" xfId="3" xr:uid="{3D41F9ED-5459-9744-8F7C-2BDF9ADCC3B0}"/>
    <cellStyle name="ปกติ" xfId="0" builtinId="0"/>
    <cellStyle name="ปกติ 3 2" xfId="2" xr:uid="{1F4CD1BC-DA71-BE47-B755-4D23D0FC66DC}"/>
    <cellStyle name="ปกติ 3 2 2" xfId="9" xr:uid="{1FC5E84D-999B-134B-BBAF-E8569C317795}"/>
    <cellStyle name="ปกติ 6" xfId="7" xr:uid="{7DF2EBD2-4BE8-CF46-BB07-2D0B088BBE4D}"/>
    <cellStyle name="เปอร์เซ็นต์" xfId="5" builtinId="5"/>
    <cellStyle name="เปอร์เซ็นต์ 2" xfId="4" xr:uid="{95FB0913-135D-5840-9C9B-C3F68F3D3230}"/>
  </cellStyles>
  <dxfs count="0"/>
  <tableStyles count="0" defaultTableStyle="TableStyleMedium2" defaultPivotStyle="PivotStyleLight16"/>
  <colors>
    <mruColors>
      <color rgb="FF04A402"/>
      <color rgb="FFEEFCF4"/>
      <color rgb="FFDEEBF8"/>
      <color rgb="FFFEFEFE"/>
      <color rgb="FFB1E859"/>
      <color rgb="FFEDFBF3"/>
      <color rgb="FF71AD47"/>
      <color rgb="FFECFAF2"/>
      <color rgb="FFEEFCF3"/>
      <color rgb="FFEDF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Report!$C$42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Report!$A$43:$A$57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พัทยา</c:v>
                </c:pt>
                <c:pt idx="9">
                  <c:v>Yuedpao สาขา Central ปิ่นเกล้า</c:v>
                </c:pt>
                <c:pt idx="10">
                  <c:v>Yuedpao สาขา I am China Town</c:v>
                </c:pt>
                <c:pt idx="11">
                  <c:v>Yuedpao สาขา Robinson ชลบุรี</c:v>
                </c:pt>
                <c:pt idx="12">
                  <c:v>Yuedpao สาขา Big C อำนาจเจริญ</c:v>
                </c:pt>
                <c:pt idx="13">
                  <c:v>Yuedpao สาขา Robinson แม่สอด</c:v>
                </c:pt>
                <c:pt idx="14">
                  <c:v>Yuedpao สาขา Sermthai Complex มหาสารคาม</c:v>
                </c:pt>
              </c:strCache>
            </c:strRef>
          </c:cat>
          <c:val>
            <c:numRef>
              <c:f>Report!$C$43:$C$57</c:f>
              <c:numCache>
                <c:formatCode>_(* #,##0_);_(* \(#,##0\);_(* "-"??_);_(@_)</c:formatCode>
                <c:ptCount val="15"/>
                <c:pt idx="0">
                  <c:v>1210000</c:v>
                </c:pt>
                <c:pt idx="1">
                  <c:v>1100000</c:v>
                </c:pt>
                <c:pt idx="2">
                  <c:v>1100000</c:v>
                </c:pt>
                <c:pt idx="3">
                  <c:v>1650000</c:v>
                </c:pt>
                <c:pt idx="4">
                  <c:v>715000</c:v>
                </c:pt>
                <c:pt idx="5">
                  <c:v>770000</c:v>
                </c:pt>
                <c:pt idx="6">
                  <c:v>1540000</c:v>
                </c:pt>
                <c:pt idx="7">
                  <c:v>2640000</c:v>
                </c:pt>
                <c:pt idx="8">
                  <c:v>990000</c:v>
                </c:pt>
                <c:pt idx="9">
                  <c:v>2090000</c:v>
                </c:pt>
                <c:pt idx="10">
                  <c:v>440000</c:v>
                </c:pt>
                <c:pt idx="11">
                  <c:v>1100000</c:v>
                </c:pt>
                <c:pt idx="12">
                  <c:v>550000</c:v>
                </c:pt>
                <c:pt idx="13">
                  <c:v>1045000</c:v>
                </c:pt>
                <c:pt idx="14">
                  <c:v>935000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3C49-843B-EBB860FE044B}"/>
            </c:ext>
          </c:extLst>
        </c:ser>
        <c:ser>
          <c:idx val="1"/>
          <c:order val="1"/>
          <c:tx>
            <c:strRef>
              <c:f>Report!$D$42</c:f>
              <c:strCache>
                <c:ptCount val="1"/>
                <c:pt idx="0">
                  <c:v>SALE OUT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Report!$A$43:$A$57</c:f>
              <c:strCache>
                <c:ptCount val="15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พัทยา</c:v>
                </c:pt>
                <c:pt idx="9">
                  <c:v>Yuedpao สาขา Central ปิ่นเกล้า</c:v>
                </c:pt>
                <c:pt idx="10">
                  <c:v>Yuedpao สาขา I am China Town</c:v>
                </c:pt>
                <c:pt idx="11">
                  <c:v>Yuedpao สาขา Robinson ชลบุรี</c:v>
                </c:pt>
                <c:pt idx="12">
                  <c:v>Yuedpao สาขา Big C อำนาจเจริญ</c:v>
                </c:pt>
                <c:pt idx="13">
                  <c:v>Yuedpao สาขา Robinson แม่สอด</c:v>
                </c:pt>
                <c:pt idx="14">
                  <c:v>Yuedpao สาขา Sermthai Complex มหาสารคาม</c:v>
                </c:pt>
              </c:strCache>
            </c:strRef>
          </c:cat>
          <c:val>
            <c:numRef>
              <c:f>Report!$D$43:$D$57</c:f>
              <c:numCache>
                <c:formatCode>_(* #,##0_);_(* \(#,##0\);_(* "-"??_);_(@_)</c:formatCode>
                <c:ptCount val="15"/>
                <c:pt idx="0">
                  <c:v>505586.5</c:v>
                </c:pt>
                <c:pt idx="1">
                  <c:v>506978</c:v>
                </c:pt>
                <c:pt idx="2">
                  <c:v>512683.7</c:v>
                </c:pt>
                <c:pt idx="3">
                  <c:v>679423</c:v>
                </c:pt>
                <c:pt idx="4">
                  <c:v>293642</c:v>
                </c:pt>
                <c:pt idx="5">
                  <c:v>366269</c:v>
                </c:pt>
                <c:pt idx="6">
                  <c:v>608567</c:v>
                </c:pt>
                <c:pt idx="7">
                  <c:v>1165653</c:v>
                </c:pt>
                <c:pt idx="8">
                  <c:v>389084.3</c:v>
                </c:pt>
                <c:pt idx="9">
                  <c:v>933072.5</c:v>
                </c:pt>
                <c:pt idx="10">
                  <c:v>131864</c:v>
                </c:pt>
                <c:pt idx="11">
                  <c:v>553114.61</c:v>
                </c:pt>
                <c:pt idx="12">
                  <c:v>220050</c:v>
                </c:pt>
                <c:pt idx="13">
                  <c:v>465863</c:v>
                </c:pt>
                <c:pt idx="14">
                  <c:v>406854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B-3C49-843B-EBB860FE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801584"/>
        <c:axId val="260803296"/>
      </c:barChart>
      <c:catAx>
        <c:axId val="2608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3296"/>
        <c:crosses val="autoZero"/>
        <c:auto val="1"/>
        <c:lblAlgn val="ctr"/>
        <c:lblOffset val="100"/>
        <c:noMultiLvlLbl val="0"/>
      </c:catAx>
      <c:valAx>
        <c:axId val="260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907141</xdr:colOff>
      <xdr:row>33</xdr:row>
      <xdr:rowOff>47777</xdr:rowOff>
    </xdr:from>
    <xdr:to>
      <xdr:col>34</xdr:col>
      <xdr:colOff>241904</xdr:colOff>
      <xdr:row>64</xdr:row>
      <xdr:rowOff>211667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9F69ED-0C11-6D65-3489-5A982D49D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D81-B342-DF4E-AA1A-BE8A069FD8D4}">
  <sheetPr codeName="Sheet1">
    <tabColor theme="1"/>
  </sheetPr>
  <dimension ref="A1:E87"/>
  <sheetViews>
    <sheetView workbookViewId="0">
      <selection activeCell="I10" sqref="I10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379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50699</v>
      </c>
      <c r="D3" s="4">
        <v>19327544.480000157</v>
      </c>
      <c r="E3" s="5" t="s">
        <v>380</v>
      </c>
    </row>
    <row r="4" spans="1:5" ht="16" x14ac:dyDescent="0.2">
      <c r="A4" s="2" t="s">
        <v>48</v>
      </c>
      <c r="B4" s="3" t="s">
        <v>356</v>
      </c>
      <c r="C4" s="4">
        <v>1813</v>
      </c>
      <c r="D4" s="4">
        <v>1505280</v>
      </c>
      <c r="E4" s="5" t="s">
        <v>381</v>
      </c>
    </row>
    <row r="5" spans="1:5" ht="16" x14ac:dyDescent="0.2">
      <c r="A5" s="2" t="s">
        <v>50</v>
      </c>
      <c r="B5" s="3" t="s">
        <v>56</v>
      </c>
      <c r="C5" s="4">
        <v>1783</v>
      </c>
      <c r="D5" s="4">
        <v>963108.04999999993</v>
      </c>
      <c r="E5" s="5" t="s">
        <v>382</v>
      </c>
    </row>
    <row r="6" spans="1:5" ht="16" x14ac:dyDescent="0.2">
      <c r="A6" s="2" t="s">
        <v>52</v>
      </c>
      <c r="B6" s="3" t="s">
        <v>49</v>
      </c>
      <c r="C6" s="4">
        <v>1933</v>
      </c>
      <c r="D6" s="4">
        <v>910304</v>
      </c>
      <c r="E6" s="5" t="s">
        <v>383</v>
      </c>
    </row>
    <row r="7" spans="1:5" ht="16" x14ac:dyDescent="0.2">
      <c r="A7" s="2" t="s">
        <v>54</v>
      </c>
      <c r="B7" s="3" t="s">
        <v>2</v>
      </c>
      <c r="C7" s="4">
        <v>1710</v>
      </c>
      <c r="D7" s="4">
        <v>884141</v>
      </c>
      <c r="E7" s="5" t="s">
        <v>384</v>
      </c>
    </row>
    <row r="8" spans="1:5" ht="16" x14ac:dyDescent="0.2">
      <c r="A8" s="2" t="s">
        <v>55</v>
      </c>
      <c r="B8" s="3" t="s">
        <v>74</v>
      </c>
      <c r="C8" s="4">
        <v>1590</v>
      </c>
      <c r="D8" s="4">
        <v>833185</v>
      </c>
      <c r="E8" s="5" t="s">
        <v>339</v>
      </c>
    </row>
    <row r="9" spans="1:5" ht="16" x14ac:dyDescent="0.2">
      <c r="A9" s="2" t="s">
        <v>57</v>
      </c>
      <c r="B9" s="3" t="s">
        <v>63</v>
      </c>
      <c r="C9" s="4">
        <v>1680</v>
      </c>
      <c r="D9" s="4">
        <v>806741.5</v>
      </c>
      <c r="E9" s="5" t="s">
        <v>385</v>
      </c>
    </row>
    <row r="10" spans="1:5" ht="16" x14ac:dyDescent="0.2">
      <c r="A10" s="2" t="s">
        <v>156</v>
      </c>
      <c r="B10" s="3" t="s">
        <v>53</v>
      </c>
      <c r="C10" s="4">
        <v>1483</v>
      </c>
      <c r="D10" s="4">
        <v>777166</v>
      </c>
      <c r="E10" s="5" t="s">
        <v>357</v>
      </c>
    </row>
    <row r="11" spans="1:5" ht="16" x14ac:dyDescent="0.2">
      <c r="A11" s="2" t="s">
        <v>60</v>
      </c>
      <c r="B11" s="3" t="s">
        <v>58</v>
      </c>
      <c r="C11" s="4">
        <v>1596</v>
      </c>
      <c r="D11" s="4">
        <v>723819</v>
      </c>
      <c r="E11" s="5" t="s">
        <v>386</v>
      </c>
    </row>
    <row r="12" spans="1:5" ht="16" x14ac:dyDescent="0.2">
      <c r="A12" s="2" t="s">
        <v>62</v>
      </c>
      <c r="B12" s="3" t="s">
        <v>67</v>
      </c>
      <c r="C12" s="4">
        <v>1400</v>
      </c>
      <c r="D12" s="4">
        <v>705838</v>
      </c>
      <c r="E12" s="5" t="s">
        <v>387</v>
      </c>
    </row>
    <row r="13" spans="1:5" ht="16" x14ac:dyDescent="0.2">
      <c r="A13" s="2" t="s">
        <v>146</v>
      </c>
      <c r="B13" s="3" t="s">
        <v>65</v>
      </c>
      <c r="C13" s="4">
        <v>1343</v>
      </c>
      <c r="D13" s="4">
        <v>674949</v>
      </c>
      <c r="E13" s="5" t="s">
        <v>388</v>
      </c>
    </row>
    <row r="14" spans="1:5" ht="16" x14ac:dyDescent="0.2">
      <c r="A14" s="2" t="s">
        <v>64</v>
      </c>
      <c r="B14" s="3" t="s">
        <v>61</v>
      </c>
      <c r="C14" s="4">
        <v>1443</v>
      </c>
      <c r="D14" s="4">
        <v>663704.5</v>
      </c>
      <c r="E14" s="5" t="s">
        <v>358</v>
      </c>
    </row>
    <row r="15" spans="1:5" ht="16" x14ac:dyDescent="0.2">
      <c r="A15" s="2" t="s">
        <v>66</v>
      </c>
      <c r="B15" s="3" t="s">
        <v>142</v>
      </c>
      <c r="C15" s="4">
        <v>1271</v>
      </c>
      <c r="D15" s="4">
        <v>617726.5</v>
      </c>
      <c r="E15" s="5" t="s">
        <v>328</v>
      </c>
    </row>
    <row r="16" spans="1:5" ht="16" x14ac:dyDescent="0.2">
      <c r="A16" s="2" t="s">
        <v>68</v>
      </c>
      <c r="B16" s="3" t="s">
        <v>79</v>
      </c>
      <c r="C16" s="4">
        <v>1239</v>
      </c>
      <c r="D16" s="4">
        <v>612691</v>
      </c>
      <c r="E16" s="5" t="s">
        <v>343</v>
      </c>
    </row>
    <row r="17" spans="1:5" ht="16" x14ac:dyDescent="0.2">
      <c r="A17" s="2" t="s">
        <v>147</v>
      </c>
      <c r="B17" s="3" t="s">
        <v>262</v>
      </c>
      <c r="C17" s="4">
        <v>1139</v>
      </c>
      <c r="D17" s="4">
        <v>585554</v>
      </c>
      <c r="E17" s="5" t="s">
        <v>389</v>
      </c>
    </row>
    <row r="18" spans="1:5" ht="16" x14ac:dyDescent="0.2">
      <c r="A18" s="2" t="s">
        <v>70</v>
      </c>
      <c r="B18" s="3" t="s">
        <v>71</v>
      </c>
      <c r="C18" s="4">
        <v>1237</v>
      </c>
      <c r="D18" s="4">
        <v>571577</v>
      </c>
      <c r="E18" s="5" t="s">
        <v>390</v>
      </c>
    </row>
    <row r="19" spans="1:5" ht="16" x14ac:dyDescent="0.2">
      <c r="A19" s="2" t="s">
        <v>72</v>
      </c>
      <c r="B19" s="3" t="s">
        <v>4</v>
      </c>
      <c r="C19" s="4">
        <v>1264</v>
      </c>
      <c r="D19" s="4">
        <v>561714</v>
      </c>
      <c r="E19" s="5" t="s">
        <v>391</v>
      </c>
    </row>
    <row r="20" spans="1:5" ht="16" x14ac:dyDescent="0.2">
      <c r="A20" s="2" t="s">
        <v>157</v>
      </c>
      <c r="B20" s="3" t="s">
        <v>69</v>
      </c>
      <c r="C20" s="4">
        <v>1093</v>
      </c>
      <c r="D20" s="4">
        <v>558486.5</v>
      </c>
      <c r="E20" s="5" t="s">
        <v>333</v>
      </c>
    </row>
    <row r="21" spans="1:5" ht="16" x14ac:dyDescent="0.2">
      <c r="A21" s="2" t="s">
        <v>75</v>
      </c>
      <c r="B21" s="3" t="s">
        <v>188</v>
      </c>
      <c r="C21" s="4">
        <v>1384</v>
      </c>
      <c r="D21" s="4">
        <v>540974</v>
      </c>
      <c r="E21" s="5" t="s">
        <v>360</v>
      </c>
    </row>
    <row r="22" spans="1:5" ht="16" x14ac:dyDescent="0.2">
      <c r="A22" s="2" t="s">
        <v>76</v>
      </c>
      <c r="B22" s="3" t="s">
        <v>59</v>
      </c>
      <c r="C22" s="4">
        <v>1042</v>
      </c>
      <c r="D22" s="4">
        <v>531448</v>
      </c>
      <c r="E22" s="5" t="s">
        <v>392</v>
      </c>
    </row>
    <row r="23" spans="1:5" ht="16" x14ac:dyDescent="0.2">
      <c r="A23" s="2" t="s">
        <v>78</v>
      </c>
      <c r="B23" s="3" t="s">
        <v>77</v>
      </c>
      <c r="C23" s="4">
        <v>993</v>
      </c>
      <c r="D23" s="4">
        <v>520592</v>
      </c>
      <c r="E23" s="5" t="s">
        <v>369</v>
      </c>
    </row>
    <row r="24" spans="1:5" ht="16" x14ac:dyDescent="0.2">
      <c r="A24" s="2" t="s">
        <v>148</v>
      </c>
      <c r="B24" s="3" t="s">
        <v>144</v>
      </c>
      <c r="C24" s="4">
        <v>1049</v>
      </c>
      <c r="D24" s="4">
        <v>492951</v>
      </c>
      <c r="E24" s="5" t="s">
        <v>341</v>
      </c>
    </row>
    <row r="25" spans="1:5" ht="16" x14ac:dyDescent="0.2">
      <c r="A25" s="2" t="s">
        <v>80</v>
      </c>
      <c r="B25" s="3" t="s">
        <v>88</v>
      </c>
      <c r="C25" s="4">
        <v>969</v>
      </c>
      <c r="D25" s="4">
        <v>489825</v>
      </c>
      <c r="E25" s="5" t="s">
        <v>341</v>
      </c>
    </row>
    <row r="26" spans="1:5" ht="16" x14ac:dyDescent="0.2">
      <c r="A26" s="2" t="s">
        <v>82</v>
      </c>
      <c r="B26" s="3" t="s">
        <v>102</v>
      </c>
      <c r="C26" s="4">
        <v>852</v>
      </c>
      <c r="D26" s="4">
        <v>488435</v>
      </c>
      <c r="E26" s="5" t="s">
        <v>314</v>
      </c>
    </row>
    <row r="27" spans="1:5" ht="16" x14ac:dyDescent="0.2">
      <c r="A27" s="2" t="s">
        <v>83</v>
      </c>
      <c r="B27" s="3" t="s">
        <v>84</v>
      </c>
      <c r="C27" s="4">
        <v>913</v>
      </c>
      <c r="D27" s="4">
        <v>469817.2</v>
      </c>
      <c r="E27" s="5" t="s">
        <v>334</v>
      </c>
    </row>
    <row r="28" spans="1:5" ht="16" x14ac:dyDescent="0.2">
      <c r="A28" s="2" t="s">
        <v>85</v>
      </c>
      <c r="B28" s="3" t="s">
        <v>145</v>
      </c>
      <c r="C28" s="4">
        <v>954</v>
      </c>
      <c r="D28" s="4">
        <v>469570</v>
      </c>
      <c r="E28" s="5" t="s">
        <v>334</v>
      </c>
    </row>
    <row r="29" spans="1:5" ht="16" x14ac:dyDescent="0.2">
      <c r="A29" s="2" t="s">
        <v>87</v>
      </c>
      <c r="B29" s="3" t="s">
        <v>3</v>
      </c>
      <c r="C29" s="4">
        <v>1155</v>
      </c>
      <c r="D29" s="4">
        <v>436716</v>
      </c>
      <c r="E29" s="5" t="s">
        <v>393</v>
      </c>
    </row>
    <row r="30" spans="1:5" ht="16" x14ac:dyDescent="0.2">
      <c r="A30" s="2" t="s">
        <v>89</v>
      </c>
      <c r="B30" s="3" t="s">
        <v>95</v>
      </c>
      <c r="C30" s="4">
        <v>860</v>
      </c>
      <c r="D30" s="4">
        <v>436390.5</v>
      </c>
      <c r="E30" s="5" t="s">
        <v>393</v>
      </c>
    </row>
    <row r="31" spans="1:5" ht="16" x14ac:dyDescent="0.2">
      <c r="A31" s="2" t="s">
        <v>90</v>
      </c>
      <c r="B31" s="3" t="s">
        <v>172</v>
      </c>
      <c r="C31" s="4">
        <v>869</v>
      </c>
      <c r="D31" s="4">
        <v>427712</v>
      </c>
      <c r="E31" s="5" t="s">
        <v>362</v>
      </c>
    </row>
    <row r="32" spans="1:5" ht="16" x14ac:dyDescent="0.2">
      <c r="A32" s="2" t="s">
        <v>92</v>
      </c>
      <c r="B32" s="3" t="s">
        <v>100</v>
      </c>
      <c r="C32" s="4">
        <v>908</v>
      </c>
      <c r="D32" s="4">
        <v>427066</v>
      </c>
      <c r="E32" s="5" t="s">
        <v>394</v>
      </c>
    </row>
    <row r="33" spans="1:5" ht="16" x14ac:dyDescent="0.2">
      <c r="A33" s="2" t="s">
        <v>94</v>
      </c>
      <c r="B33" s="3" t="s">
        <v>73</v>
      </c>
      <c r="C33" s="4">
        <v>886</v>
      </c>
      <c r="D33" s="4">
        <v>425468</v>
      </c>
      <c r="E33" s="5" t="s">
        <v>394</v>
      </c>
    </row>
    <row r="34" spans="1:5" ht="16" x14ac:dyDescent="0.2">
      <c r="A34" s="2" t="s">
        <v>96</v>
      </c>
      <c r="B34" s="3" t="s">
        <v>1</v>
      </c>
      <c r="C34" s="4">
        <v>770</v>
      </c>
      <c r="D34" s="4">
        <v>422991.2</v>
      </c>
      <c r="E34" s="5" t="s">
        <v>394</v>
      </c>
    </row>
    <row r="35" spans="1:5" ht="16" x14ac:dyDescent="0.2">
      <c r="A35" s="2" t="s">
        <v>159</v>
      </c>
      <c r="B35" s="3" t="s">
        <v>170</v>
      </c>
      <c r="C35" s="4">
        <v>935</v>
      </c>
      <c r="D35" s="4">
        <v>422623</v>
      </c>
      <c r="E35" s="5" t="s">
        <v>394</v>
      </c>
    </row>
    <row r="36" spans="1:5" ht="16" x14ac:dyDescent="0.2">
      <c r="A36" s="2" t="s">
        <v>98</v>
      </c>
      <c r="B36" s="3" t="s">
        <v>110</v>
      </c>
      <c r="C36" s="4">
        <v>794</v>
      </c>
      <c r="D36" s="4">
        <v>415694</v>
      </c>
      <c r="E36" s="5" t="s">
        <v>395</v>
      </c>
    </row>
    <row r="37" spans="1:5" ht="16" x14ac:dyDescent="0.2">
      <c r="A37" s="2" t="s">
        <v>160</v>
      </c>
      <c r="B37" s="3" t="s">
        <v>187</v>
      </c>
      <c r="C37" s="4">
        <v>1073</v>
      </c>
      <c r="D37" s="4">
        <v>413123</v>
      </c>
      <c r="E37" s="5" t="s">
        <v>395</v>
      </c>
    </row>
    <row r="38" spans="1:5" ht="16" x14ac:dyDescent="0.2">
      <c r="A38" s="2" t="s">
        <v>101</v>
      </c>
      <c r="B38" s="3" t="s">
        <v>91</v>
      </c>
      <c r="C38" s="4">
        <v>828</v>
      </c>
      <c r="D38" s="4">
        <v>406968</v>
      </c>
      <c r="E38" s="5" t="s">
        <v>323</v>
      </c>
    </row>
    <row r="39" spans="1:5" ht="16" x14ac:dyDescent="0.2">
      <c r="A39" s="2" t="s">
        <v>103</v>
      </c>
      <c r="B39" s="3" t="s">
        <v>5</v>
      </c>
      <c r="C39" s="4">
        <v>862</v>
      </c>
      <c r="D39" s="4">
        <v>401946</v>
      </c>
      <c r="E39" s="5" t="s">
        <v>301</v>
      </c>
    </row>
    <row r="40" spans="1:5" ht="16" x14ac:dyDescent="0.2">
      <c r="A40" s="2" t="s">
        <v>105</v>
      </c>
      <c r="B40" s="3" t="s">
        <v>93</v>
      </c>
      <c r="C40" s="4">
        <v>887</v>
      </c>
      <c r="D40" s="4">
        <v>401073</v>
      </c>
      <c r="E40" s="5" t="s">
        <v>301</v>
      </c>
    </row>
    <row r="41" spans="1:5" ht="16" x14ac:dyDescent="0.2">
      <c r="A41" s="2" t="s">
        <v>107</v>
      </c>
      <c r="B41" s="3" t="s">
        <v>81</v>
      </c>
      <c r="C41" s="4">
        <v>791</v>
      </c>
      <c r="D41" s="4">
        <v>394333</v>
      </c>
      <c r="E41" s="5" t="s">
        <v>370</v>
      </c>
    </row>
    <row r="42" spans="1:5" ht="16" x14ac:dyDescent="0.2">
      <c r="A42" s="2" t="s">
        <v>109</v>
      </c>
      <c r="B42" s="3" t="s">
        <v>38</v>
      </c>
      <c r="C42" s="4">
        <v>876</v>
      </c>
      <c r="D42" s="4">
        <v>392980</v>
      </c>
      <c r="E42" s="5" t="s">
        <v>370</v>
      </c>
    </row>
    <row r="43" spans="1:5" ht="16" x14ac:dyDescent="0.2">
      <c r="A43" s="2" t="s">
        <v>111</v>
      </c>
      <c r="B43" s="3" t="s">
        <v>113</v>
      </c>
      <c r="C43" s="4">
        <v>854</v>
      </c>
      <c r="D43" s="4">
        <v>378146</v>
      </c>
      <c r="E43" s="5" t="s">
        <v>318</v>
      </c>
    </row>
    <row r="44" spans="1:5" ht="16" x14ac:dyDescent="0.2">
      <c r="A44" s="2" t="s">
        <v>112</v>
      </c>
      <c r="B44" s="3" t="s">
        <v>191</v>
      </c>
      <c r="C44" s="4">
        <v>1019</v>
      </c>
      <c r="D44" s="4">
        <v>375630</v>
      </c>
      <c r="E44" s="5" t="s">
        <v>337</v>
      </c>
    </row>
    <row r="45" spans="1:5" ht="16" x14ac:dyDescent="0.2">
      <c r="A45" s="2" t="s">
        <v>114</v>
      </c>
      <c r="B45" s="3" t="s">
        <v>99</v>
      </c>
      <c r="C45" s="4">
        <v>846</v>
      </c>
      <c r="D45" s="4">
        <v>374132</v>
      </c>
      <c r="E45" s="5" t="s">
        <v>337</v>
      </c>
    </row>
    <row r="46" spans="1:5" ht="16" x14ac:dyDescent="0.2">
      <c r="A46" s="2" t="s">
        <v>116</v>
      </c>
      <c r="B46" s="3" t="s">
        <v>104</v>
      </c>
      <c r="C46" s="4">
        <v>951</v>
      </c>
      <c r="D46" s="4">
        <v>345877</v>
      </c>
      <c r="E46" s="5" t="s">
        <v>263</v>
      </c>
    </row>
    <row r="47" spans="1:5" ht="16" x14ac:dyDescent="0.2">
      <c r="A47" s="2" t="s">
        <v>149</v>
      </c>
      <c r="B47" s="3" t="s">
        <v>86</v>
      </c>
      <c r="C47" s="4">
        <v>668</v>
      </c>
      <c r="D47" s="4">
        <v>338381.9</v>
      </c>
      <c r="E47" s="5" t="s">
        <v>304</v>
      </c>
    </row>
    <row r="48" spans="1:5" ht="16" x14ac:dyDescent="0.2">
      <c r="A48" s="2" t="s">
        <v>117</v>
      </c>
      <c r="B48" s="3" t="s">
        <v>309</v>
      </c>
      <c r="C48" s="4">
        <v>924</v>
      </c>
      <c r="D48" s="4">
        <v>335530</v>
      </c>
      <c r="E48" s="5" t="s">
        <v>304</v>
      </c>
    </row>
    <row r="49" spans="1:5" ht="16" x14ac:dyDescent="0.2">
      <c r="A49" s="2" t="s">
        <v>119</v>
      </c>
      <c r="B49" s="3" t="s">
        <v>115</v>
      </c>
      <c r="C49" s="4">
        <v>753</v>
      </c>
      <c r="D49" s="4">
        <v>328397</v>
      </c>
      <c r="E49" s="5" t="s">
        <v>199</v>
      </c>
    </row>
    <row r="50" spans="1:5" ht="16" x14ac:dyDescent="0.2">
      <c r="A50" s="2" t="s">
        <v>120</v>
      </c>
      <c r="B50" s="3" t="s">
        <v>121</v>
      </c>
      <c r="C50" s="4">
        <v>619</v>
      </c>
      <c r="D50" s="4">
        <v>324006</v>
      </c>
      <c r="E50" s="5" t="s">
        <v>346</v>
      </c>
    </row>
    <row r="51" spans="1:5" ht="16" x14ac:dyDescent="0.2">
      <c r="A51" s="2" t="s">
        <v>122</v>
      </c>
      <c r="B51" s="3" t="s">
        <v>97</v>
      </c>
      <c r="C51" s="4">
        <v>667</v>
      </c>
      <c r="D51" s="4">
        <v>323089</v>
      </c>
      <c r="E51" s="5" t="s">
        <v>346</v>
      </c>
    </row>
    <row r="52" spans="1:5" ht="16" x14ac:dyDescent="0.2">
      <c r="A52" s="2" t="s">
        <v>123</v>
      </c>
      <c r="B52" s="3" t="s">
        <v>108</v>
      </c>
      <c r="C52" s="4">
        <v>662</v>
      </c>
      <c r="D52" s="4">
        <v>305077</v>
      </c>
      <c r="E52" s="5" t="s">
        <v>282</v>
      </c>
    </row>
    <row r="53" spans="1:5" ht="16" x14ac:dyDescent="0.2">
      <c r="A53" s="2" t="s">
        <v>125</v>
      </c>
      <c r="B53" s="3" t="s">
        <v>51</v>
      </c>
      <c r="C53" s="4">
        <v>541</v>
      </c>
      <c r="D53" s="4">
        <v>298610</v>
      </c>
      <c r="E53" s="5" t="s">
        <v>305</v>
      </c>
    </row>
    <row r="54" spans="1:5" ht="16" x14ac:dyDescent="0.2">
      <c r="A54" s="2" t="s">
        <v>127</v>
      </c>
      <c r="B54" s="3" t="s">
        <v>169</v>
      </c>
      <c r="C54" s="4">
        <v>870</v>
      </c>
      <c r="D54" s="4">
        <v>281160</v>
      </c>
      <c r="E54" s="5" t="s">
        <v>317</v>
      </c>
    </row>
    <row r="55" spans="1:5" ht="16" x14ac:dyDescent="0.2">
      <c r="A55" s="2" t="s">
        <v>161</v>
      </c>
      <c r="B55" s="3" t="s">
        <v>143</v>
      </c>
      <c r="C55" s="4">
        <v>567</v>
      </c>
      <c r="D55" s="4">
        <v>275652</v>
      </c>
      <c r="E55" s="5" t="s">
        <v>266</v>
      </c>
    </row>
    <row r="56" spans="1:5" ht="16" x14ac:dyDescent="0.2">
      <c r="A56" s="2" t="s">
        <v>129</v>
      </c>
      <c r="B56" s="3" t="s">
        <v>118</v>
      </c>
      <c r="C56" s="4">
        <v>669</v>
      </c>
      <c r="D56" s="4">
        <v>270229.5</v>
      </c>
      <c r="E56" s="5" t="s">
        <v>306</v>
      </c>
    </row>
    <row r="57" spans="1:5" ht="16" x14ac:dyDescent="0.2">
      <c r="A57" s="2" t="s">
        <v>130</v>
      </c>
      <c r="B57" s="3" t="s">
        <v>106</v>
      </c>
      <c r="C57" s="4">
        <v>515</v>
      </c>
      <c r="D57" s="4">
        <v>267259</v>
      </c>
      <c r="E57" s="5" t="s">
        <v>315</v>
      </c>
    </row>
    <row r="58" spans="1:5" ht="16" x14ac:dyDescent="0.2">
      <c r="A58" s="2" t="s">
        <v>162</v>
      </c>
      <c r="B58" s="3" t="s">
        <v>184</v>
      </c>
      <c r="C58" s="4">
        <v>579</v>
      </c>
      <c r="D58" s="4">
        <v>262234</v>
      </c>
      <c r="E58" s="5" t="s">
        <v>338</v>
      </c>
    </row>
    <row r="59" spans="1:5" ht="16" x14ac:dyDescent="0.2">
      <c r="A59" s="2" t="s">
        <v>132</v>
      </c>
      <c r="B59" s="3" t="s">
        <v>126</v>
      </c>
      <c r="C59" s="4">
        <v>493</v>
      </c>
      <c r="D59" s="4">
        <v>261448</v>
      </c>
      <c r="E59" s="5" t="s">
        <v>338</v>
      </c>
    </row>
    <row r="60" spans="1:5" ht="16" x14ac:dyDescent="0.2">
      <c r="A60" s="2" t="s">
        <v>163</v>
      </c>
      <c r="B60" s="3" t="s">
        <v>196</v>
      </c>
      <c r="C60" s="4">
        <v>579</v>
      </c>
      <c r="D60" s="4">
        <v>243338</v>
      </c>
      <c r="E60" s="5" t="s">
        <v>269</v>
      </c>
    </row>
    <row r="61" spans="1:5" ht="16" x14ac:dyDescent="0.2">
      <c r="A61" s="2" t="s">
        <v>133</v>
      </c>
      <c r="B61" s="3" t="s">
        <v>40</v>
      </c>
      <c r="C61" s="4">
        <v>533</v>
      </c>
      <c r="D61" s="4">
        <v>241181</v>
      </c>
      <c r="E61" s="5" t="s">
        <v>248</v>
      </c>
    </row>
    <row r="62" spans="1:5" ht="16" x14ac:dyDescent="0.2">
      <c r="A62" s="2" t="s">
        <v>134</v>
      </c>
      <c r="B62" s="3" t="s">
        <v>190</v>
      </c>
      <c r="C62" s="4">
        <v>519</v>
      </c>
      <c r="D62" s="4">
        <v>238038.5</v>
      </c>
      <c r="E62" s="5" t="s">
        <v>222</v>
      </c>
    </row>
    <row r="63" spans="1:5" ht="16" x14ac:dyDescent="0.2">
      <c r="A63" s="2" t="s">
        <v>135</v>
      </c>
      <c r="B63" s="3" t="s">
        <v>165</v>
      </c>
      <c r="C63" s="4">
        <v>466</v>
      </c>
      <c r="D63" s="4">
        <v>215765</v>
      </c>
      <c r="E63" s="5" t="s">
        <v>289</v>
      </c>
    </row>
    <row r="64" spans="1:5" ht="16" x14ac:dyDescent="0.2">
      <c r="A64" s="2" t="s">
        <v>136</v>
      </c>
      <c r="B64" s="3" t="s">
        <v>364</v>
      </c>
      <c r="C64" s="4">
        <v>649</v>
      </c>
      <c r="D64" s="4">
        <v>208970</v>
      </c>
      <c r="E64" s="5" t="s">
        <v>354</v>
      </c>
    </row>
    <row r="65" spans="1:5" ht="16" x14ac:dyDescent="0.2">
      <c r="A65" s="2" t="s">
        <v>164</v>
      </c>
      <c r="B65" s="3" t="s">
        <v>39</v>
      </c>
      <c r="C65" s="4">
        <v>462</v>
      </c>
      <c r="D65" s="4">
        <v>206456</v>
      </c>
      <c r="E65" s="5" t="s">
        <v>271</v>
      </c>
    </row>
    <row r="66" spans="1:5" ht="16" x14ac:dyDescent="0.2">
      <c r="A66" s="2" t="s">
        <v>137</v>
      </c>
      <c r="B66" s="3" t="s">
        <v>152</v>
      </c>
      <c r="C66" s="4">
        <v>474</v>
      </c>
      <c r="D66" s="4">
        <v>203928</v>
      </c>
      <c r="E66" s="5" t="s">
        <v>271</v>
      </c>
    </row>
    <row r="67" spans="1:5" ht="16" x14ac:dyDescent="0.2">
      <c r="A67" s="2" t="s">
        <v>150</v>
      </c>
      <c r="B67" s="3" t="s">
        <v>332</v>
      </c>
      <c r="C67" s="4">
        <v>660</v>
      </c>
      <c r="D67" s="4">
        <v>184558</v>
      </c>
      <c r="E67" s="5" t="s">
        <v>396</v>
      </c>
    </row>
    <row r="68" spans="1:5" ht="16" x14ac:dyDescent="0.2">
      <c r="A68" s="2" t="s">
        <v>138</v>
      </c>
      <c r="B68" s="3" t="s">
        <v>128</v>
      </c>
      <c r="C68" s="4">
        <v>420</v>
      </c>
      <c r="D68" s="4">
        <v>182474</v>
      </c>
      <c r="E68" s="5" t="s">
        <v>396</v>
      </c>
    </row>
    <row r="69" spans="1:5" ht="16" x14ac:dyDescent="0.2">
      <c r="A69" s="2" t="s">
        <v>151</v>
      </c>
      <c r="B69" s="3" t="s">
        <v>158</v>
      </c>
      <c r="C69" s="4">
        <v>18</v>
      </c>
      <c r="D69" s="4">
        <v>181325</v>
      </c>
      <c r="E69" s="5" t="s">
        <v>324</v>
      </c>
    </row>
    <row r="70" spans="1:5" ht="16" x14ac:dyDescent="0.2">
      <c r="A70" s="2" t="s">
        <v>153</v>
      </c>
      <c r="B70" s="3" t="s">
        <v>124</v>
      </c>
      <c r="C70" s="4">
        <v>365</v>
      </c>
      <c r="D70" s="4">
        <v>178458</v>
      </c>
      <c r="E70" s="5" t="s">
        <v>324</v>
      </c>
    </row>
    <row r="71" spans="1:5" ht="16" x14ac:dyDescent="0.2">
      <c r="A71" s="2" t="s">
        <v>166</v>
      </c>
      <c r="B71" s="3" t="s">
        <v>244</v>
      </c>
      <c r="C71" s="4">
        <v>528</v>
      </c>
      <c r="D71" s="4">
        <v>177733</v>
      </c>
      <c r="E71" s="5" t="s">
        <v>324</v>
      </c>
    </row>
    <row r="72" spans="1:5" ht="16" x14ac:dyDescent="0.2">
      <c r="A72" s="2" t="s">
        <v>167</v>
      </c>
      <c r="B72" s="3" t="s">
        <v>279</v>
      </c>
      <c r="C72" s="4">
        <v>4</v>
      </c>
      <c r="D72" s="4">
        <v>175200</v>
      </c>
      <c r="E72" s="5" t="s">
        <v>349</v>
      </c>
    </row>
    <row r="73" spans="1:5" ht="16" x14ac:dyDescent="0.2">
      <c r="A73" s="2" t="s">
        <v>173</v>
      </c>
      <c r="B73" s="3" t="s">
        <v>131</v>
      </c>
      <c r="C73" s="4">
        <v>323</v>
      </c>
      <c r="D73" s="4">
        <v>174241</v>
      </c>
      <c r="E73" s="5" t="s">
        <v>349</v>
      </c>
    </row>
    <row r="74" spans="1:5" ht="16" x14ac:dyDescent="0.2">
      <c r="A74" s="2" t="s">
        <v>174</v>
      </c>
      <c r="B74" s="3" t="s">
        <v>303</v>
      </c>
      <c r="C74" s="4">
        <v>453</v>
      </c>
      <c r="D74" s="4">
        <v>167482</v>
      </c>
      <c r="E74" s="5" t="s">
        <v>267</v>
      </c>
    </row>
    <row r="75" spans="1:5" ht="16" x14ac:dyDescent="0.2">
      <c r="A75" s="2" t="s">
        <v>175</v>
      </c>
      <c r="B75" s="3" t="s">
        <v>37</v>
      </c>
      <c r="C75" s="4">
        <v>645</v>
      </c>
      <c r="D75" s="4">
        <v>167164</v>
      </c>
      <c r="E75" s="5" t="s">
        <v>267</v>
      </c>
    </row>
    <row r="76" spans="1:5" ht="16" x14ac:dyDescent="0.2">
      <c r="A76" s="2" t="s">
        <v>177</v>
      </c>
      <c r="B76" s="3" t="s">
        <v>36</v>
      </c>
      <c r="C76" s="4">
        <v>619</v>
      </c>
      <c r="D76" s="4">
        <v>163722</v>
      </c>
      <c r="E76" s="5" t="s">
        <v>295</v>
      </c>
    </row>
    <row r="77" spans="1:5" ht="16" x14ac:dyDescent="0.2">
      <c r="A77" s="2" t="s">
        <v>178</v>
      </c>
      <c r="B77" s="3" t="s">
        <v>363</v>
      </c>
      <c r="C77" s="4">
        <v>198</v>
      </c>
      <c r="D77" s="4">
        <v>154540</v>
      </c>
      <c r="E77" s="5" t="s">
        <v>350</v>
      </c>
    </row>
    <row r="78" spans="1:5" ht="16" x14ac:dyDescent="0.2">
      <c r="A78" s="2" t="s">
        <v>185</v>
      </c>
      <c r="B78" s="3" t="s">
        <v>183</v>
      </c>
      <c r="C78" s="4">
        <v>140</v>
      </c>
      <c r="D78" s="4">
        <v>153893</v>
      </c>
      <c r="E78" s="5" t="s">
        <v>350</v>
      </c>
    </row>
    <row r="79" spans="1:5" ht="16" x14ac:dyDescent="0.2">
      <c r="A79" s="2" t="s">
        <v>186</v>
      </c>
      <c r="B79" s="3" t="s">
        <v>365</v>
      </c>
      <c r="C79" s="4">
        <v>395</v>
      </c>
      <c r="D79" s="4">
        <v>140786</v>
      </c>
      <c r="E79" s="5" t="s">
        <v>278</v>
      </c>
    </row>
    <row r="80" spans="1:5" ht="16" x14ac:dyDescent="0.2">
      <c r="A80" s="2" t="s">
        <v>201</v>
      </c>
      <c r="B80" s="3" t="s">
        <v>7</v>
      </c>
      <c r="C80" s="4">
        <v>346</v>
      </c>
      <c r="D80" s="4">
        <v>100126</v>
      </c>
      <c r="E80" s="5" t="s">
        <v>331</v>
      </c>
    </row>
    <row r="81" spans="1:5" ht="16" x14ac:dyDescent="0.2">
      <c r="A81" s="2" t="s">
        <v>202</v>
      </c>
      <c r="B81" s="3" t="s">
        <v>6</v>
      </c>
      <c r="C81" s="4">
        <v>220</v>
      </c>
      <c r="D81" s="4">
        <v>83724</v>
      </c>
      <c r="E81" s="5" t="s">
        <v>292</v>
      </c>
    </row>
    <row r="82" spans="1:5" ht="16" x14ac:dyDescent="0.2">
      <c r="A82" s="2" t="s">
        <v>203</v>
      </c>
      <c r="B82" s="3" t="s">
        <v>220</v>
      </c>
      <c r="C82" s="4">
        <v>100</v>
      </c>
      <c r="D82" s="4">
        <v>24298</v>
      </c>
      <c r="E82" s="5" t="s">
        <v>355</v>
      </c>
    </row>
    <row r="83" spans="1:5" ht="16" x14ac:dyDescent="0.2">
      <c r="A83" s="2" t="s">
        <v>204</v>
      </c>
      <c r="B83" s="3" t="s">
        <v>310</v>
      </c>
      <c r="C83" s="4">
        <v>0</v>
      </c>
      <c r="D83" s="4">
        <v>0</v>
      </c>
      <c r="E83" s="5" t="s">
        <v>181</v>
      </c>
    </row>
    <row r="84" spans="1:5" ht="16" x14ac:dyDescent="0.2">
      <c r="A84" s="2" t="s">
        <v>205</v>
      </c>
      <c r="B84" s="3" t="s">
        <v>182</v>
      </c>
      <c r="C84" s="4">
        <v>-549</v>
      </c>
      <c r="D84" s="4">
        <v>-205905.31000000006</v>
      </c>
      <c r="E84" s="5" t="s">
        <v>397</v>
      </c>
    </row>
    <row r="86" spans="1:5" ht="16" x14ac:dyDescent="0.2">
      <c r="B86" s="2" t="s">
        <v>139</v>
      </c>
      <c r="C86" s="6" t="s">
        <v>140</v>
      </c>
    </row>
    <row r="87" spans="1:5" ht="16" x14ac:dyDescent="0.2">
      <c r="B87" s="2" t="s">
        <v>141</v>
      </c>
      <c r="C87" s="6" t="s">
        <v>398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24-EF75-E74B-96F6-0CAD014CA6F5}">
  <sheetPr codeName="Sheet3">
    <tabColor theme="1"/>
  </sheetPr>
  <dimension ref="A1:E102"/>
  <sheetViews>
    <sheetView workbookViewId="0">
      <selection activeCell="B16" sqref="B16"/>
    </sheetView>
  </sheetViews>
  <sheetFormatPr baseColWidth="10" defaultColWidth="7.5703125" defaultRowHeight="15" x14ac:dyDescent="0.15"/>
  <cols>
    <col min="1" max="1" width="17.140625" customWidth="1" collapsed="1"/>
    <col min="2" max="2" width="43.140625" bestFit="1" customWidth="1" collapsed="1"/>
    <col min="3" max="5" width="17.140625" customWidth="1" collapsed="1"/>
  </cols>
  <sheetData>
    <row r="1" spans="1:5" ht="16" x14ac:dyDescent="0.2">
      <c r="A1" s="7" t="s">
        <v>399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122412</v>
      </c>
      <c r="D3" s="4">
        <v>43288871.350001216</v>
      </c>
      <c r="E3" s="5" t="s">
        <v>400</v>
      </c>
    </row>
    <row r="4" spans="1:5" ht="16" x14ac:dyDescent="0.2">
      <c r="A4" s="2" t="s">
        <v>48</v>
      </c>
      <c r="B4" s="3" t="s">
        <v>74</v>
      </c>
      <c r="C4" s="4">
        <v>1902</v>
      </c>
      <c r="D4" s="4">
        <v>968008.67</v>
      </c>
      <c r="E4" s="5" t="s">
        <v>359</v>
      </c>
    </row>
    <row r="5" spans="1:5" ht="16" x14ac:dyDescent="0.2">
      <c r="A5" s="2" t="s">
        <v>50</v>
      </c>
      <c r="B5" s="3" t="s">
        <v>53</v>
      </c>
      <c r="C5" s="4">
        <v>1899</v>
      </c>
      <c r="D5" s="4">
        <v>964963.5</v>
      </c>
      <c r="E5" s="5" t="s">
        <v>359</v>
      </c>
    </row>
    <row r="6" spans="1:5" ht="16" x14ac:dyDescent="0.2">
      <c r="A6" s="2" t="s">
        <v>52</v>
      </c>
      <c r="B6" s="3" t="s">
        <v>56</v>
      </c>
      <c r="C6" s="4">
        <v>1757</v>
      </c>
      <c r="D6" s="4">
        <v>946339.5</v>
      </c>
      <c r="E6" s="5" t="s">
        <v>344</v>
      </c>
    </row>
    <row r="7" spans="1:5" ht="16" x14ac:dyDescent="0.2">
      <c r="A7" s="2" t="s">
        <v>54</v>
      </c>
      <c r="B7" s="3" t="s">
        <v>49</v>
      </c>
      <c r="C7" s="4">
        <v>1850</v>
      </c>
      <c r="D7" s="4">
        <v>927365</v>
      </c>
      <c r="E7" s="5" t="s">
        <v>389</v>
      </c>
    </row>
    <row r="8" spans="1:5" ht="16" x14ac:dyDescent="0.2">
      <c r="A8" s="2" t="s">
        <v>55</v>
      </c>
      <c r="B8" s="3" t="s">
        <v>65</v>
      </c>
      <c r="C8" s="4">
        <v>2281</v>
      </c>
      <c r="D8" s="4">
        <v>864633</v>
      </c>
      <c r="E8" s="5" t="s">
        <v>360</v>
      </c>
    </row>
    <row r="9" spans="1:5" ht="16" x14ac:dyDescent="0.2">
      <c r="A9" s="2" t="s">
        <v>57</v>
      </c>
      <c r="B9" s="3" t="s">
        <v>294</v>
      </c>
      <c r="C9" s="4">
        <v>2147</v>
      </c>
      <c r="D9" s="4">
        <v>863687</v>
      </c>
      <c r="E9" s="5" t="s">
        <v>360</v>
      </c>
    </row>
    <row r="10" spans="1:5" ht="16" x14ac:dyDescent="0.2">
      <c r="A10" s="2" t="s">
        <v>156</v>
      </c>
      <c r="B10" s="3" t="s">
        <v>2</v>
      </c>
      <c r="C10" s="4">
        <v>1571</v>
      </c>
      <c r="D10" s="4">
        <v>849551</v>
      </c>
      <c r="E10" s="5" t="s">
        <v>322</v>
      </c>
    </row>
    <row r="11" spans="1:5" ht="16" x14ac:dyDescent="0.2">
      <c r="A11" s="2" t="s">
        <v>60</v>
      </c>
      <c r="B11" s="3" t="s">
        <v>63</v>
      </c>
      <c r="C11" s="4">
        <v>1665</v>
      </c>
      <c r="D11" s="4">
        <v>793305</v>
      </c>
      <c r="E11" s="5" t="s">
        <v>336</v>
      </c>
    </row>
    <row r="12" spans="1:5" ht="16" x14ac:dyDescent="0.2">
      <c r="A12" s="2" t="s">
        <v>62</v>
      </c>
      <c r="B12" s="3" t="s">
        <v>142</v>
      </c>
      <c r="C12" s="4">
        <v>1588</v>
      </c>
      <c r="D12" s="4">
        <v>792225.5</v>
      </c>
      <c r="E12" s="5" t="s">
        <v>330</v>
      </c>
    </row>
    <row r="13" spans="1:5" ht="16" x14ac:dyDescent="0.2">
      <c r="A13" s="2" t="s">
        <v>146</v>
      </c>
      <c r="B13" s="3" t="s">
        <v>58</v>
      </c>
      <c r="C13" s="4">
        <v>1534</v>
      </c>
      <c r="D13" s="4">
        <v>755866.07</v>
      </c>
      <c r="E13" s="5" t="s">
        <v>361</v>
      </c>
    </row>
    <row r="14" spans="1:5" ht="16" x14ac:dyDescent="0.2">
      <c r="A14" s="2" t="s">
        <v>64</v>
      </c>
      <c r="B14" s="3" t="s">
        <v>81</v>
      </c>
      <c r="C14" s="4">
        <v>1639</v>
      </c>
      <c r="D14" s="4">
        <v>744628</v>
      </c>
      <c r="E14" s="5" t="s">
        <v>334</v>
      </c>
    </row>
    <row r="15" spans="1:5" ht="16" x14ac:dyDescent="0.2">
      <c r="A15" s="2" t="s">
        <v>66</v>
      </c>
      <c r="B15" s="3" t="s">
        <v>230</v>
      </c>
      <c r="C15" s="4">
        <v>1223</v>
      </c>
      <c r="D15" s="4">
        <v>718635</v>
      </c>
      <c r="E15" s="5" t="s">
        <v>297</v>
      </c>
    </row>
    <row r="16" spans="1:5" ht="16" x14ac:dyDescent="0.2">
      <c r="A16" s="2" t="s">
        <v>68</v>
      </c>
      <c r="B16" s="3" t="s">
        <v>84</v>
      </c>
      <c r="C16" s="4">
        <v>1368</v>
      </c>
      <c r="D16" s="4">
        <v>705030</v>
      </c>
      <c r="E16" s="5" t="s">
        <v>287</v>
      </c>
    </row>
    <row r="17" spans="1:5" ht="16" x14ac:dyDescent="0.2">
      <c r="A17" s="2" t="s">
        <v>147</v>
      </c>
      <c r="B17" s="3" t="s">
        <v>71</v>
      </c>
      <c r="C17" s="4">
        <v>1457</v>
      </c>
      <c r="D17" s="4">
        <v>683715.88</v>
      </c>
      <c r="E17" s="5" t="s">
        <v>362</v>
      </c>
    </row>
    <row r="18" spans="1:5" ht="16" x14ac:dyDescent="0.2">
      <c r="A18" s="2" t="s">
        <v>70</v>
      </c>
      <c r="B18" s="3" t="s">
        <v>69</v>
      </c>
      <c r="C18" s="4">
        <v>1161</v>
      </c>
      <c r="D18" s="4">
        <v>649770.80000000005</v>
      </c>
      <c r="E18" s="5" t="s">
        <v>243</v>
      </c>
    </row>
    <row r="19" spans="1:5" ht="16" x14ac:dyDescent="0.2">
      <c r="A19" s="2" t="s">
        <v>72</v>
      </c>
      <c r="B19" s="3" t="s">
        <v>4</v>
      </c>
      <c r="C19" s="4">
        <v>1387</v>
      </c>
      <c r="D19" s="4">
        <v>636086</v>
      </c>
      <c r="E19" s="5" t="s">
        <v>301</v>
      </c>
    </row>
    <row r="20" spans="1:5" ht="16" x14ac:dyDescent="0.2">
      <c r="A20" s="2" t="s">
        <v>157</v>
      </c>
      <c r="B20" s="3" t="s">
        <v>144</v>
      </c>
      <c r="C20" s="4">
        <v>1342</v>
      </c>
      <c r="D20" s="4">
        <v>629133.5</v>
      </c>
      <c r="E20" s="5" t="s">
        <v>370</v>
      </c>
    </row>
    <row r="21" spans="1:5" ht="16" x14ac:dyDescent="0.2">
      <c r="A21" s="2" t="s">
        <v>75</v>
      </c>
      <c r="B21" s="3" t="s">
        <v>67</v>
      </c>
      <c r="C21" s="4">
        <v>1255</v>
      </c>
      <c r="D21" s="4">
        <v>605996.75</v>
      </c>
      <c r="E21" s="5" t="s">
        <v>316</v>
      </c>
    </row>
    <row r="22" spans="1:5" ht="16" x14ac:dyDescent="0.2">
      <c r="A22" s="2" t="s">
        <v>76</v>
      </c>
      <c r="B22" s="3" t="s">
        <v>61</v>
      </c>
      <c r="C22" s="4">
        <v>1240</v>
      </c>
      <c r="D22" s="4">
        <v>605489</v>
      </c>
      <c r="E22" s="5" t="s">
        <v>316</v>
      </c>
    </row>
    <row r="23" spans="1:5" ht="16" x14ac:dyDescent="0.2">
      <c r="A23" s="2" t="s">
        <v>78</v>
      </c>
      <c r="B23" s="3" t="s">
        <v>88</v>
      </c>
      <c r="C23" s="4">
        <v>1123</v>
      </c>
      <c r="D23" s="4">
        <v>587555.5</v>
      </c>
      <c r="E23" s="5" t="s">
        <v>285</v>
      </c>
    </row>
    <row r="24" spans="1:5" ht="16" x14ac:dyDescent="0.2">
      <c r="A24" s="2" t="s">
        <v>148</v>
      </c>
      <c r="B24" s="3" t="s">
        <v>77</v>
      </c>
      <c r="C24" s="4">
        <v>1134</v>
      </c>
      <c r="D24" s="4">
        <v>585231</v>
      </c>
      <c r="E24" s="5" t="s">
        <v>285</v>
      </c>
    </row>
    <row r="25" spans="1:5" ht="16" x14ac:dyDescent="0.2">
      <c r="A25" s="2" t="s">
        <v>80</v>
      </c>
      <c r="B25" s="3" t="s">
        <v>172</v>
      </c>
      <c r="C25" s="4">
        <v>1118</v>
      </c>
      <c r="D25" s="4">
        <v>575090</v>
      </c>
      <c r="E25" s="5" t="s">
        <v>265</v>
      </c>
    </row>
    <row r="26" spans="1:5" ht="16" x14ac:dyDescent="0.2">
      <c r="A26" s="2" t="s">
        <v>82</v>
      </c>
      <c r="B26" s="3" t="s">
        <v>3</v>
      </c>
      <c r="C26" s="4">
        <v>1018</v>
      </c>
      <c r="D26" s="4">
        <v>568851.6</v>
      </c>
      <c r="E26" s="5" t="s">
        <v>272</v>
      </c>
    </row>
    <row r="27" spans="1:5" ht="16" x14ac:dyDescent="0.2">
      <c r="A27" s="2" t="s">
        <v>83</v>
      </c>
      <c r="B27" s="3" t="s">
        <v>100</v>
      </c>
      <c r="C27" s="4">
        <v>1094</v>
      </c>
      <c r="D27" s="4">
        <v>565789.5</v>
      </c>
      <c r="E27" s="5" t="s">
        <v>272</v>
      </c>
    </row>
    <row r="28" spans="1:5" ht="16" x14ac:dyDescent="0.2">
      <c r="A28" s="2" t="s">
        <v>85</v>
      </c>
      <c r="B28" s="3" t="s">
        <v>79</v>
      </c>
      <c r="C28" s="4">
        <v>1197</v>
      </c>
      <c r="D28" s="4">
        <v>564894</v>
      </c>
      <c r="E28" s="5" t="s">
        <v>272</v>
      </c>
    </row>
    <row r="29" spans="1:5" ht="16" x14ac:dyDescent="0.2">
      <c r="A29" s="2" t="s">
        <v>87</v>
      </c>
      <c r="B29" s="3" t="s">
        <v>210</v>
      </c>
      <c r="C29" s="4">
        <v>1139</v>
      </c>
      <c r="D29" s="4">
        <v>551374</v>
      </c>
      <c r="E29" s="5" t="s">
        <v>263</v>
      </c>
    </row>
    <row r="30" spans="1:5" ht="16" x14ac:dyDescent="0.2">
      <c r="A30" s="2" t="s">
        <v>89</v>
      </c>
      <c r="B30" s="3" t="s">
        <v>145</v>
      </c>
      <c r="C30" s="4">
        <v>1159</v>
      </c>
      <c r="D30" s="4">
        <v>546712</v>
      </c>
      <c r="E30" s="5" t="s">
        <v>275</v>
      </c>
    </row>
    <row r="31" spans="1:5" ht="16" x14ac:dyDescent="0.2">
      <c r="A31" s="2" t="s">
        <v>90</v>
      </c>
      <c r="B31" s="3" t="s">
        <v>187</v>
      </c>
      <c r="C31" s="4">
        <v>1298</v>
      </c>
      <c r="D31" s="4">
        <v>528753.30000000005</v>
      </c>
      <c r="E31" s="5" t="s">
        <v>264</v>
      </c>
    </row>
    <row r="32" spans="1:5" ht="16" x14ac:dyDescent="0.2">
      <c r="A32" s="2" t="s">
        <v>92</v>
      </c>
      <c r="B32" s="3" t="s">
        <v>93</v>
      </c>
      <c r="C32" s="4">
        <v>983</v>
      </c>
      <c r="D32" s="4">
        <v>523747</v>
      </c>
      <c r="E32" s="5" t="s">
        <v>199</v>
      </c>
    </row>
    <row r="33" spans="1:5" ht="16" x14ac:dyDescent="0.2">
      <c r="A33" s="2" t="s">
        <v>94</v>
      </c>
      <c r="B33" s="3" t="s">
        <v>262</v>
      </c>
      <c r="C33" s="4">
        <v>965</v>
      </c>
      <c r="D33" s="4">
        <v>514304</v>
      </c>
      <c r="E33" s="5" t="s">
        <v>346</v>
      </c>
    </row>
    <row r="34" spans="1:5" ht="16" x14ac:dyDescent="0.2">
      <c r="A34" s="2" t="s">
        <v>96</v>
      </c>
      <c r="B34" s="3" t="s">
        <v>113</v>
      </c>
      <c r="C34" s="4">
        <v>985</v>
      </c>
      <c r="D34" s="4">
        <v>496244</v>
      </c>
      <c r="E34" s="5" t="s">
        <v>329</v>
      </c>
    </row>
    <row r="35" spans="1:5" ht="16" x14ac:dyDescent="0.2">
      <c r="A35" s="2" t="s">
        <v>159</v>
      </c>
      <c r="B35" s="3" t="s">
        <v>59</v>
      </c>
      <c r="C35" s="4">
        <v>1024</v>
      </c>
      <c r="D35" s="4">
        <v>490509</v>
      </c>
      <c r="E35" s="5" t="s">
        <v>282</v>
      </c>
    </row>
    <row r="36" spans="1:5" ht="16" x14ac:dyDescent="0.2">
      <c r="A36" s="2" t="s">
        <v>98</v>
      </c>
      <c r="B36" s="3" t="s">
        <v>170</v>
      </c>
      <c r="C36" s="4">
        <v>984</v>
      </c>
      <c r="D36" s="4">
        <v>485248</v>
      </c>
      <c r="E36" s="5" t="s">
        <v>282</v>
      </c>
    </row>
    <row r="37" spans="1:5" ht="16" x14ac:dyDescent="0.2">
      <c r="A37" s="2" t="s">
        <v>160</v>
      </c>
      <c r="B37" s="3" t="s">
        <v>39</v>
      </c>
      <c r="C37" s="4">
        <v>1091</v>
      </c>
      <c r="D37" s="4">
        <v>482903</v>
      </c>
      <c r="E37" s="5" t="s">
        <v>276</v>
      </c>
    </row>
    <row r="38" spans="1:5" ht="16" x14ac:dyDescent="0.2">
      <c r="A38" s="2" t="s">
        <v>101</v>
      </c>
      <c r="B38" s="3" t="s">
        <v>121</v>
      </c>
      <c r="C38" s="4">
        <v>915</v>
      </c>
      <c r="D38" s="4">
        <v>478612</v>
      </c>
      <c r="E38" s="5" t="s">
        <v>276</v>
      </c>
    </row>
    <row r="39" spans="1:5" ht="16" x14ac:dyDescent="0.2">
      <c r="A39" s="2" t="s">
        <v>103</v>
      </c>
      <c r="B39" s="3" t="s">
        <v>158</v>
      </c>
      <c r="C39" s="4">
        <v>24</v>
      </c>
      <c r="D39" s="4">
        <v>465725</v>
      </c>
      <c r="E39" s="5" t="s">
        <v>302</v>
      </c>
    </row>
    <row r="40" spans="1:5" ht="16" x14ac:dyDescent="0.2">
      <c r="A40" s="2" t="s">
        <v>105</v>
      </c>
      <c r="B40" s="3" t="s">
        <v>5</v>
      </c>
      <c r="C40" s="4">
        <v>891</v>
      </c>
      <c r="D40" s="4">
        <v>438361</v>
      </c>
      <c r="E40" s="5" t="s">
        <v>266</v>
      </c>
    </row>
    <row r="41" spans="1:5" ht="16" x14ac:dyDescent="0.2">
      <c r="A41" s="2" t="s">
        <v>107</v>
      </c>
      <c r="B41" s="3" t="s">
        <v>1</v>
      </c>
      <c r="C41" s="4">
        <v>803</v>
      </c>
      <c r="D41" s="4">
        <v>434835</v>
      </c>
      <c r="E41" s="5" t="s">
        <v>266</v>
      </c>
    </row>
    <row r="42" spans="1:5" ht="16" x14ac:dyDescent="0.2">
      <c r="A42" s="2" t="s">
        <v>109</v>
      </c>
      <c r="B42" s="3" t="s">
        <v>102</v>
      </c>
      <c r="C42" s="4">
        <v>820</v>
      </c>
      <c r="D42" s="4">
        <v>429198</v>
      </c>
      <c r="E42" s="5" t="s">
        <v>306</v>
      </c>
    </row>
    <row r="43" spans="1:5" ht="16" x14ac:dyDescent="0.2">
      <c r="A43" s="2" t="s">
        <v>111</v>
      </c>
      <c r="B43" s="3" t="s">
        <v>229</v>
      </c>
      <c r="C43" s="4">
        <v>902</v>
      </c>
      <c r="D43" s="4">
        <v>418467</v>
      </c>
      <c r="E43" s="5" t="s">
        <v>315</v>
      </c>
    </row>
    <row r="44" spans="1:5" ht="16" x14ac:dyDescent="0.2">
      <c r="A44" s="2" t="s">
        <v>112</v>
      </c>
      <c r="B44" s="3" t="s">
        <v>110</v>
      </c>
      <c r="C44" s="4">
        <v>848</v>
      </c>
      <c r="D44" s="4">
        <v>418181</v>
      </c>
      <c r="E44" s="5" t="s">
        <v>338</v>
      </c>
    </row>
    <row r="45" spans="1:5" ht="16" x14ac:dyDescent="0.2">
      <c r="A45" s="2" t="s">
        <v>114</v>
      </c>
      <c r="B45" s="3" t="s">
        <v>38</v>
      </c>
      <c r="C45" s="4">
        <v>899</v>
      </c>
      <c r="D45" s="4">
        <v>414164</v>
      </c>
      <c r="E45" s="5" t="s">
        <v>338</v>
      </c>
    </row>
    <row r="46" spans="1:5" ht="16" x14ac:dyDescent="0.2">
      <c r="A46" s="2" t="s">
        <v>116</v>
      </c>
      <c r="B46" s="3" t="s">
        <v>188</v>
      </c>
      <c r="C46" s="4">
        <v>1028</v>
      </c>
      <c r="D46" s="4">
        <v>412940</v>
      </c>
      <c r="E46" s="5" t="s">
        <v>338</v>
      </c>
    </row>
    <row r="47" spans="1:5" ht="16" x14ac:dyDescent="0.2">
      <c r="A47" s="2" t="s">
        <v>149</v>
      </c>
      <c r="B47" s="3" t="s">
        <v>91</v>
      </c>
      <c r="C47" s="4">
        <v>849</v>
      </c>
      <c r="D47" s="4">
        <v>411525</v>
      </c>
      <c r="E47" s="5" t="s">
        <v>338</v>
      </c>
    </row>
    <row r="48" spans="1:5" ht="16" x14ac:dyDescent="0.2">
      <c r="A48" s="2" t="s">
        <v>117</v>
      </c>
      <c r="B48" s="3" t="s">
        <v>211</v>
      </c>
      <c r="C48" s="4">
        <v>922</v>
      </c>
      <c r="D48" s="4">
        <v>411312</v>
      </c>
      <c r="E48" s="5" t="s">
        <v>338</v>
      </c>
    </row>
    <row r="49" spans="1:5" ht="16" x14ac:dyDescent="0.2">
      <c r="A49" s="2" t="s">
        <v>119</v>
      </c>
      <c r="B49" s="3" t="s">
        <v>104</v>
      </c>
      <c r="C49" s="4">
        <v>1001</v>
      </c>
      <c r="D49" s="4">
        <v>410759</v>
      </c>
      <c r="E49" s="5" t="s">
        <v>338</v>
      </c>
    </row>
    <row r="50" spans="1:5" ht="16" x14ac:dyDescent="0.2">
      <c r="A50" s="2" t="s">
        <v>120</v>
      </c>
      <c r="B50" s="3" t="s">
        <v>237</v>
      </c>
      <c r="C50" s="4">
        <v>678</v>
      </c>
      <c r="D50" s="4">
        <v>398842</v>
      </c>
      <c r="E50" s="5" t="s">
        <v>288</v>
      </c>
    </row>
    <row r="51" spans="1:5" ht="16" x14ac:dyDescent="0.2">
      <c r="A51" s="2" t="s">
        <v>122</v>
      </c>
      <c r="B51" s="3" t="s">
        <v>95</v>
      </c>
      <c r="C51" s="4">
        <v>777</v>
      </c>
      <c r="D51" s="4">
        <v>389100</v>
      </c>
      <c r="E51" s="5" t="s">
        <v>269</v>
      </c>
    </row>
    <row r="52" spans="1:5" ht="16" x14ac:dyDescent="0.2">
      <c r="A52" s="2" t="s">
        <v>123</v>
      </c>
      <c r="B52" s="3" t="s">
        <v>274</v>
      </c>
      <c r="C52" s="4">
        <v>819</v>
      </c>
      <c r="D52" s="4">
        <v>372774</v>
      </c>
      <c r="E52" s="5" t="s">
        <v>222</v>
      </c>
    </row>
    <row r="53" spans="1:5" ht="16" x14ac:dyDescent="0.2">
      <c r="A53" s="2" t="s">
        <v>125</v>
      </c>
      <c r="B53" s="3" t="s">
        <v>99</v>
      </c>
      <c r="C53" s="4">
        <v>735</v>
      </c>
      <c r="D53" s="4">
        <v>369299</v>
      </c>
      <c r="E53" s="5" t="s">
        <v>226</v>
      </c>
    </row>
    <row r="54" spans="1:5" ht="16" x14ac:dyDescent="0.2">
      <c r="A54" s="2" t="s">
        <v>127</v>
      </c>
      <c r="B54" s="3" t="s">
        <v>115</v>
      </c>
      <c r="C54" s="4">
        <v>710</v>
      </c>
      <c r="D54" s="4">
        <v>365058</v>
      </c>
      <c r="E54" s="5" t="s">
        <v>226</v>
      </c>
    </row>
    <row r="55" spans="1:5" ht="16" x14ac:dyDescent="0.2">
      <c r="A55" s="2" t="s">
        <v>161</v>
      </c>
      <c r="B55" s="3" t="s">
        <v>108</v>
      </c>
      <c r="C55" s="4">
        <v>762</v>
      </c>
      <c r="D55" s="4">
        <v>358158.5</v>
      </c>
      <c r="E55" s="5" t="s">
        <v>280</v>
      </c>
    </row>
    <row r="56" spans="1:5" ht="16" x14ac:dyDescent="0.2">
      <c r="A56" s="2" t="s">
        <v>129</v>
      </c>
      <c r="B56" s="3" t="s">
        <v>86</v>
      </c>
      <c r="C56" s="4">
        <v>584</v>
      </c>
      <c r="D56" s="4">
        <v>346534.5</v>
      </c>
      <c r="E56" s="5" t="s">
        <v>311</v>
      </c>
    </row>
    <row r="57" spans="1:5" ht="16" x14ac:dyDescent="0.2">
      <c r="A57" s="2" t="s">
        <v>130</v>
      </c>
      <c r="B57" s="3" t="s">
        <v>73</v>
      </c>
      <c r="C57" s="4">
        <v>788</v>
      </c>
      <c r="D57" s="4">
        <v>342824</v>
      </c>
      <c r="E57" s="5" t="s">
        <v>289</v>
      </c>
    </row>
    <row r="58" spans="1:5" ht="16" x14ac:dyDescent="0.2">
      <c r="A58" s="2" t="s">
        <v>162</v>
      </c>
      <c r="B58" s="3" t="s">
        <v>245</v>
      </c>
      <c r="C58" s="4">
        <v>787</v>
      </c>
      <c r="D58" s="4">
        <v>332043.21000000002</v>
      </c>
      <c r="E58" s="5" t="s">
        <v>354</v>
      </c>
    </row>
    <row r="59" spans="1:5" ht="16" x14ac:dyDescent="0.2">
      <c r="A59" s="2" t="s">
        <v>132</v>
      </c>
      <c r="B59" s="3" t="s">
        <v>183</v>
      </c>
      <c r="C59" s="4">
        <v>2054</v>
      </c>
      <c r="D59" s="4">
        <v>323291</v>
      </c>
      <c r="E59" s="5" t="s">
        <v>271</v>
      </c>
    </row>
    <row r="60" spans="1:5" ht="16" x14ac:dyDescent="0.2">
      <c r="A60" s="2" t="s">
        <v>163</v>
      </c>
      <c r="B60" s="3" t="s">
        <v>131</v>
      </c>
      <c r="C60" s="4">
        <v>684</v>
      </c>
      <c r="D60" s="4">
        <v>319282</v>
      </c>
      <c r="E60" s="5" t="s">
        <v>307</v>
      </c>
    </row>
    <row r="61" spans="1:5" ht="16" x14ac:dyDescent="0.2">
      <c r="A61" s="2" t="s">
        <v>133</v>
      </c>
      <c r="B61" s="3" t="s">
        <v>227</v>
      </c>
      <c r="C61" s="4">
        <v>784</v>
      </c>
      <c r="D61" s="4">
        <v>318163</v>
      </c>
      <c r="E61" s="5" t="s">
        <v>307</v>
      </c>
    </row>
    <row r="62" spans="1:5" ht="16" x14ac:dyDescent="0.2">
      <c r="A62" s="2" t="s">
        <v>134</v>
      </c>
      <c r="B62" s="3" t="s">
        <v>40</v>
      </c>
      <c r="C62" s="4">
        <v>673</v>
      </c>
      <c r="D62" s="4">
        <v>317452</v>
      </c>
      <c r="E62" s="5" t="s">
        <v>307</v>
      </c>
    </row>
    <row r="63" spans="1:5" ht="16" x14ac:dyDescent="0.2">
      <c r="A63" s="2" t="s">
        <v>135</v>
      </c>
      <c r="B63" s="3" t="s">
        <v>51</v>
      </c>
      <c r="C63" s="4">
        <v>577</v>
      </c>
      <c r="D63" s="4">
        <v>315310</v>
      </c>
      <c r="E63" s="5" t="s">
        <v>307</v>
      </c>
    </row>
    <row r="64" spans="1:5" ht="16" x14ac:dyDescent="0.2">
      <c r="A64" s="2" t="s">
        <v>136</v>
      </c>
      <c r="B64" s="3" t="s">
        <v>246</v>
      </c>
      <c r="C64" s="4">
        <v>677</v>
      </c>
      <c r="D64" s="4">
        <v>313511</v>
      </c>
      <c r="E64" s="5" t="s">
        <v>307</v>
      </c>
    </row>
    <row r="65" spans="1:5" ht="16" x14ac:dyDescent="0.2">
      <c r="A65" s="2" t="s">
        <v>164</v>
      </c>
      <c r="B65" s="3" t="s">
        <v>124</v>
      </c>
      <c r="C65" s="4">
        <v>656</v>
      </c>
      <c r="D65" s="4">
        <v>304840</v>
      </c>
      <c r="E65" s="5" t="s">
        <v>277</v>
      </c>
    </row>
    <row r="66" spans="1:5" ht="16" x14ac:dyDescent="0.2">
      <c r="A66" s="2" t="s">
        <v>137</v>
      </c>
      <c r="B66" s="3" t="s">
        <v>97</v>
      </c>
      <c r="C66" s="4">
        <v>713</v>
      </c>
      <c r="D66" s="4">
        <v>303524</v>
      </c>
      <c r="E66" s="5" t="s">
        <v>270</v>
      </c>
    </row>
    <row r="67" spans="1:5" ht="16" x14ac:dyDescent="0.2">
      <c r="A67" s="2" t="s">
        <v>150</v>
      </c>
      <c r="B67" s="3" t="s">
        <v>240</v>
      </c>
      <c r="C67" s="4">
        <v>627</v>
      </c>
      <c r="D67" s="4">
        <v>301115</v>
      </c>
      <c r="E67" s="5" t="s">
        <v>270</v>
      </c>
    </row>
    <row r="68" spans="1:5" ht="16" x14ac:dyDescent="0.2">
      <c r="A68" s="2" t="s">
        <v>138</v>
      </c>
      <c r="B68" s="3" t="s">
        <v>143</v>
      </c>
      <c r="C68" s="4">
        <v>641</v>
      </c>
      <c r="D68" s="4">
        <v>294959.5</v>
      </c>
      <c r="E68" s="5" t="s">
        <v>396</v>
      </c>
    </row>
    <row r="69" spans="1:5" ht="16" x14ac:dyDescent="0.2">
      <c r="A69" s="2" t="s">
        <v>151</v>
      </c>
      <c r="B69" s="3" t="s">
        <v>184</v>
      </c>
      <c r="C69" s="4">
        <v>610</v>
      </c>
      <c r="D69" s="4">
        <v>280865</v>
      </c>
      <c r="E69" s="5" t="s">
        <v>324</v>
      </c>
    </row>
    <row r="70" spans="1:5" ht="16" x14ac:dyDescent="0.2">
      <c r="A70" s="2" t="s">
        <v>153</v>
      </c>
      <c r="B70" s="3" t="s">
        <v>106</v>
      </c>
      <c r="C70" s="4">
        <v>523</v>
      </c>
      <c r="D70" s="4">
        <v>278412</v>
      </c>
      <c r="E70" s="5" t="s">
        <v>349</v>
      </c>
    </row>
    <row r="71" spans="1:5" ht="16" x14ac:dyDescent="0.2">
      <c r="A71" s="2" t="s">
        <v>166</v>
      </c>
      <c r="B71" s="3" t="s">
        <v>126</v>
      </c>
      <c r="C71" s="4">
        <v>539</v>
      </c>
      <c r="D71" s="4">
        <v>267072</v>
      </c>
      <c r="E71" s="5" t="s">
        <v>267</v>
      </c>
    </row>
    <row r="72" spans="1:5" ht="16" x14ac:dyDescent="0.2">
      <c r="A72" s="2" t="s">
        <v>167</v>
      </c>
      <c r="B72" s="3" t="s">
        <v>165</v>
      </c>
      <c r="C72" s="4">
        <v>505</v>
      </c>
      <c r="D72" s="4">
        <v>264972.5</v>
      </c>
      <c r="E72" s="5" t="s">
        <v>267</v>
      </c>
    </row>
    <row r="73" spans="1:5" ht="16" x14ac:dyDescent="0.2">
      <c r="A73" s="2" t="s">
        <v>173</v>
      </c>
      <c r="B73" s="3" t="s">
        <v>128</v>
      </c>
      <c r="C73" s="4">
        <v>603</v>
      </c>
      <c r="D73" s="4">
        <v>263241</v>
      </c>
      <c r="E73" s="5" t="s">
        <v>295</v>
      </c>
    </row>
    <row r="74" spans="1:5" ht="16" x14ac:dyDescent="0.2">
      <c r="A74" s="2" t="s">
        <v>174</v>
      </c>
      <c r="B74" s="3" t="s">
        <v>191</v>
      </c>
      <c r="C74" s="4">
        <v>590</v>
      </c>
      <c r="D74" s="4">
        <v>262763</v>
      </c>
      <c r="E74" s="5" t="s">
        <v>295</v>
      </c>
    </row>
    <row r="75" spans="1:5" ht="16" x14ac:dyDescent="0.2">
      <c r="A75" s="2" t="s">
        <v>175</v>
      </c>
      <c r="B75" s="3" t="s">
        <v>152</v>
      </c>
      <c r="C75" s="4">
        <v>525</v>
      </c>
      <c r="D75" s="4">
        <v>259384</v>
      </c>
      <c r="E75" s="5" t="s">
        <v>295</v>
      </c>
    </row>
    <row r="76" spans="1:5" ht="16" x14ac:dyDescent="0.2">
      <c r="A76" s="2" t="s">
        <v>177</v>
      </c>
      <c r="B76" s="3" t="s">
        <v>118</v>
      </c>
      <c r="C76" s="4">
        <v>606</v>
      </c>
      <c r="D76" s="4">
        <v>249660</v>
      </c>
      <c r="E76" s="5" t="s">
        <v>308</v>
      </c>
    </row>
    <row r="77" spans="1:5" ht="16" x14ac:dyDescent="0.2">
      <c r="A77" s="2" t="s">
        <v>178</v>
      </c>
      <c r="B77" s="3" t="s">
        <v>197</v>
      </c>
      <c r="C77" s="4">
        <v>587</v>
      </c>
      <c r="D77" s="4">
        <v>246280</v>
      </c>
      <c r="E77" s="5" t="s">
        <v>350</v>
      </c>
    </row>
    <row r="78" spans="1:5" ht="16" x14ac:dyDescent="0.2">
      <c r="A78" s="2" t="s">
        <v>185</v>
      </c>
      <c r="B78" s="3" t="s">
        <v>291</v>
      </c>
      <c r="C78" s="4">
        <v>782</v>
      </c>
      <c r="D78" s="4">
        <v>239808</v>
      </c>
      <c r="E78" s="5" t="s">
        <v>350</v>
      </c>
    </row>
    <row r="79" spans="1:5" ht="16" x14ac:dyDescent="0.2">
      <c r="A79" s="2" t="s">
        <v>186</v>
      </c>
      <c r="B79" s="3" t="s">
        <v>268</v>
      </c>
      <c r="C79" s="4">
        <v>478</v>
      </c>
      <c r="D79" s="4">
        <v>227788</v>
      </c>
      <c r="E79" s="5" t="s">
        <v>327</v>
      </c>
    </row>
    <row r="80" spans="1:5" ht="16" x14ac:dyDescent="0.2">
      <c r="A80" s="2" t="s">
        <v>201</v>
      </c>
      <c r="B80" s="3" t="s">
        <v>190</v>
      </c>
      <c r="C80" s="4">
        <v>413</v>
      </c>
      <c r="D80" s="4">
        <v>211999</v>
      </c>
      <c r="E80" s="5" t="s">
        <v>335</v>
      </c>
    </row>
    <row r="81" spans="1:5" ht="16" x14ac:dyDescent="0.2">
      <c r="A81" s="2" t="s">
        <v>202</v>
      </c>
      <c r="B81" s="3" t="s">
        <v>228</v>
      </c>
      <c r="C81" s="4">
        <v>405</v>
      </c>
      <c r="D81" s="4">
        <v>175966</v>
      </c>
      <c r="E81" s="5" t="s">
        <v>372</v>
      </c>
    </row>
    <row r="82" spans="1:5" ht="16" x14ac:dyDescent="0.2">
      <c r="A82" s="2" t="s">
        <v>203</v>
      </c>
      <c r="B82" s="3" t="s">
        <v>225</v>
      </c>
      <c r="C82" s="4">
        <v>371</v>
      </c>
      <c r="D82" s="4">
        <v>166260</v>
      </c>
      <c r="E82" s="5" t="s">
        <v>331</v>
      </c>
    </row>
    <row r="83" spans="1:5" ht="16" x14ac:dyDescent="0.2">
      <c r="A83" s="2" t="s">
        <v>204</v>
      </c>
      <c r="B83" s="3" t="s">
        <v>196</v>
      </c>
      <c r="C83" s="4">
        <v>365</v>
      </c>
      <c r="D83" s="4">
        <v>157555.5</v>
      </c>
      <c r="E83" s="5" t="s">
        <v>352</v>
      </c>
    </row>
    <row r="84" spans="1:5" ht="16" x14ac:dyDescent="0.2">
      <c r="A84" s="2" t="s">
        <v>205</v>
      </c>
      <c r="B84" s="3" t="s">
        <v>198</v>
      </c>
      <c r="C84" s="4">
        <v>341</v>
      </c>
      <c r="D84" s="4">
        <v>151402</v>
      </c>
      <c r="E84" s="5" t="s">
        <v>352</v>
      </c>
    </row>
    <row r="85" spans="1:5" ht="16" x14ac:dyDescent="0.2">
      <c r="A85" s="2" t="s">
        <v>212</v>
      </c>
      <c r="B85" s="3" t="s">
        <v>247</v>
      </c>
      <c r="C85" s="4">
        <v>491</v>
      </c>
      <c r="D85" s="4">
        <v>148813</v>
      </c>
      <c r="E85" s="5" t="s">
        <v>284</v>
      </c>
    </row>
    <row r="86" spans="1:5" ht="16" x14ac:dyDescent="0.2">
      <c r="A86" s="2" t="s">
        <v>217</v>
      </c>
      <c r="B86" s="3" t="s">
        <v>239</v>
      </c>
      <c r="C86" s="4">
        <v>303</v>
      </c>
      <c r="D86" s="4">
        <v>141136</v>
      </c>
      <c r="E86" s="5" t="s">
        <v>319</v>
      </c>
    </row>
    <row r="87" spans="1:5" ht="16" x14ac:dyDescent="0.2">
      <c r="A87" s="2" t="s">
        <v>218</v>
      </c>
      <c r="B87" s="3" t="s">
        <v>37</v>
      </c>
      <c r="C87" s="4">
        <v>420</v>
      </c>
      <c r="D87" s="4">
        <v>136157</v>
      </c>
      <c r="E87" s="5" t="s">
        <v>319</v>
      </c>
    </row>
    <row r="88" spans="1:5" ht="16" x14ac:dyDescent="0.2">
      <c r="A88" s="2" t="s">
        <v>219</v>
      </c>
      <c r="B88" s="3" t="s">
        <v>36</v>
      </c>
      <c r="C88" s="4">
        <v>360</v>
      </c>
      <c r="D88" s="4">
        <v>111744</v>
      </c>
      <c r="E88" s="5" t="s">
        <v>345</v>
      </c>
    </row>
    <row r="89" spans="1:5" ht="16" x14ac:dyDescent="0.2">
      <c r="A89" s="2" t="s">
        <v>232</v>
      </c>
      <c r="B89" s="3" t="s">
        <v>303</v>
      </c>
      <c r="C89" s="4">
        <v>264</v>
      </c>
      <c r="D89" s="4">
        <v>99022</v>
      </c>
      <c r="E89" s="5" t="s">
        <v>281</v>
      </c>
    </row>
    <row r="90" spans="1:5" ht="16" x14ac:dyDescent="0.2">
      <c r="A90" s="2" t="s">
        <v>233</v>
      </c>
      <c r="B90" s="3" t="s">
        <v>6</v>
      </c>
      <c r="C90" s="4">
        <v>247</v>
      </c>
      <c r="D90" s="4">
        <v>95650</v>
      </c>
      <c r="E90" s="5" t="s">
        <v>281</v>
      </c>
    </row>
    <row r="91" spans="1:5" ht="16" x14ac:dyDescent="0.2">
      <c r="A91" s="2" t="s">
        <v>234</v>
      </c>
      <c r="B91" s="3" t="s">
        <v>7</v>
      </c>
      <c r="C91" s="4">
        <v>251</v>
      </c>
      <c r="D91" s="4">
        <v>77470</v>
      </c>
      <c r="E91" s="5" t="s">
        <v>401</v>
      </c>
    </row>
    <row r="92" spans="1:5" ht="16" x14ac:dyDescent="0.2">
      <c r="A92" s="2" t="s">
        <v>235</v>
      </c>
      <c r="B92" s="3" t="s">
        <v>402</v>
      </c>
      <c r="C92" s="4">
        <v>101</v>
      </c>
      <c r="D92" s="4">
        <v>44270</v>
      </c>
      <c r="E92" s="5" t="s">
        <v>355</v>
      </c>
    </row>
    <row r="93" spans="1:5" ht="16" x14ac:dyDescent="0.2">
      <c r="A93" s="2" t="s">
        <v>236</v>
      </c>
      <c r="B93" s="3" t="s">
        <v>296</v>
      </c>
      <c r="C93" s="4">
        <v>66</v>
      </c>
      <c r="D93" s="4">
        <v>31830</v>
      </c>
      <c r="E93" s="5" t="s">
        <v>321</v>
      </c>
    </row>
    <row r="94" spans="1:5" ht="16" x14ac:dyDescent="0.2">
      <c r="A94" s="2" t="s">
        <v>241</v>
      </c>
      <c r="B94" s="3" t="s">
        <v>220</v>
      </c>
      <c r="C94" s="4">
        <v>23</v>
      </c>
      <c r="D94" s="4">
        <v>6191</v>
      </c>
      <c r="E94" s="5" t="s">
        <v>273</v>
      </c>
    </row>
    <row r="95" spans="1:5" ht="16" x14ac:dyDescent="0.2">
      <c r="A95" s="2" t="s">
        <v>242</v>
      </c>
      <c r="B95" s="3" t="s">
        <v>290</v>
      </c>
      <c r="C95" s="4">
        <v>14</v>
      </c>
      <c r="D95" s="4">
        <v>4950</v>
      </c>
      <c r="E95" s="5" t="s">
        <v>273</v>
      </c>
    </row>
    <row r="96" spans="1:5" ht="16" x14ac:dyDescent="0.2">
      <c r="A96" s="2" t="s">
        <v>250</v>
      </c>
      <c r="B96" s="3" t="s">
        <v>231</v>
      </c>
      <c r="C96" s="4">
        <v>0</v>
      </c>
      <c r="D96" s="4">
        <v>0</v>
      </c>
      <c r="E96" s="5" t="s">
        <v>181</v>
      </c>
    </row>
    <row r="97" spans="1:5" ht="16" x14ac:dyDescent="0.2">
      <c r="A97" s="2" t="s">
        <v>251</v>
      </c>
      <c r="B97" s="3" t="s">
        <v>249</v>
      </c>
      <c r="C97" s="4">
        <v>0</v>
      </c>
      <c r="D97" s="4">
        <v>0</v>
      </c>
      <c r="E97" s="5" t="s">
        <v>181</v>
      </c>
    </row>
    <row r="98" spans="1:5" ht="16" x14ac:dyDescent="0.2">
      <c r="A98" s="2" t="s">
        <v>252</v>
      </c>
      <c r="B98" s="3" t="s">
        <v>221</v>
      </c>
      <c r="C98" s="4">
        <v>-35</v>
      </c>
      <c r="D98" s="4">
        <v>-5465.8500000000013</v>
      </c>
      <c r="E98" s="5" t="s">
        <v>377</v>
      </c>
    </row>
    <row r="99" spans="1:5" ht="16" x14ac:dyDescent="0.2">
      <c r="A99" s="2" t="s">
        <v>253</v>
      </c>
      <c r="B99" s="3" t="s">
        <v>182</v>
      </c>
      <c r="C99" s="4">
        <v>-2838</v>
      </c>
      <c r="D99" s="4">
        <v>-931091.19999999972</v>
      </c>
      <c r="E99" s="5" t="s">
        <v>403</v>
      </c>
    </row>
    <row r="101" spans="1:5" ht="16" x14ac:dyDescent="0.2">
      <c r="B101" s="2" t="s">
        <v>139</v>
      </c>
      <c r="C101" s="6" t="s">
        <v>140</v>
      </c>
    </row>
    <row r="102" spans="1:5" ht="16" x14ac:dyDescent="0.2">
      <c r="B102" s="2" t="s">
        <v>141</v>
      </c>
      <c r="C102" s="6" t="s">
        <v>404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9B3-849E-6F44-A759-705AF9B84B2F}">
  <sheetPr codeName="Sheet4">
    <tabColor theme="1"/>
  </sheetPr>
  <dimension ref="A1:E105"/>
  <sheetViews>
    <sheetView workbookViewId="0">
      <pane ySplit="2" topLeftCell="A3" activePane="bottomLeft" state="frozen"/>
      <selection pane="bottomLeft" activeCell="F6" sqref="F6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405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133150</v>
      </c>
      <c r="D3" s="4">
        <v>45225433.660001412</v>
      </c>
      <c r="E3" s="5" t="s">
        <v>410</v>
      </c>
    </row>
    <row r="4" spans="1:5" ht="16" x14ac:dyDescent="0.2">
      <c r="A4" s="2" t="s">
        <v>48</v>
      </c>
      <c r="B4" s="3" t="s">
        <v>56</v>
      </c>
      <c r="C4" s="4">
        <v>2360</v>
      </c>
      <c r="D4" s="4">
        <v>1289499</v>
      </c>
      <c r="E4" s="5" t="s">
        <v>406</v>
      </c>
    </row>
    <row r="5" spans="1:5" ht="16" x14ac:dyDescent="0.2">
      <c r="A5" s="2" t="s">
        <v>50</v>
      </c>
      <c r="B5" s="3" t="s">
        <v>65</v>
      </c>
      <c r="C5" s="4">
        <v>3546</v>
      </c>
      <c r="D5" s="4">
        <v>1267900</v>
      </c>
      <c r="E5" s="5" t="s">
        <v>407</v>
      </c>
    </row>
    <row r="6" spans="1:5" ht="16" x14ac:dyDescent="0.2">
      <c r="A6" s="2" t="s">
        <v>52</v>
      </c>
      <c r="B6" s="3" t="s">
        <v>74</v>
      </c>
      <c r="C6" s="4">
        <v>2341</v>
      </c>
      <c r="D6" s="4">
        <v>1175755</v>
      </c>
      <c r="E6" s="5" t="s">
        <v>340</v>
      </c>
    </row>
    <row r="7" spans="1:5" ht="16" x14ac:dyDescent="0.2">
      <c r="A7" s="2" t="s">
        <v>54</v>
      </c>
      <c r="B7" s="3" t="s">
        <v>49</v>
      </c>
      <c r="C7" s="4">
        <v>2315</v>
      </c>
      <c r="D7" s="4">
        <v>1165653</v>
      </c>
      <c r="E7" s="5" t="s">
        <v>411</v>
      </c>
    </row>
    <row r="8" spans="1:5" ht="16" x14ac:dyDescent="0.2">
      <c r="A8" s="2" t="s">
        <v>55</v>
      </c>
      <c r="B8" s="3" t="s">
        <v>2</v>
      </c>
      <c r="C8" s="4">
        <v>2269</v>
      </c>
      <c r="D8" s="4">
        <v>1143050.6499999999</v>
      </c>
      <c r="E8" s="5" t="s">
        <v>328</v>
      </c>
    </row>
    <row r="9" spans="1:5" ht="16" x14ac:dyDescent="0.2">
      <c r="A9" s="2" t="s">
        <v>57</v>
      </c>
      <c r="B9" s="3" t="s">
        <v>53</v>
      </c>
      <c r="C9" s="4">
        <v>2303</v>
      </c>
      <c r="D9" s="4">
        <v>1125942.6499999999</v>
      </c>
      <c r="E9" s="5" t="s">
        <v>343</v>
      </c>
    </row>
    <row r="10" spans="1:5" ht="16" x14ac:dyDescent="0.2">
      <c r="A10" s="2" t="s">
        <v>156</v>
      </c>
      <c r="B10" s="3" t="s">
        <v>84</v>
      </c>
      <c r="C10" s="4">
        <v>2143</v>
      </c>
      <c r="D10" s="4">
        <v>1112666</v>
      </c>
      <c r="E10" s="5" t="s">
        <v>368</v>
      </c>
    </row>
    <row r="11" spans="1:5" ht="16" x14ac:dyDescent="0.2">
      <c r="A11" s="2" t="s">
        <v>60</v>
      </c>
      <c r="B11" s="3" t="s">
        <v>58</v>
      </c>
      <c r="C11" s="4">
        <v>2156</v>
      </c>
      <c r="D11" s="4">
        <v>1001652</v>
      </c>
      <c r="E11" s="5" t="s">
        <v>360</v>
      </c>
    </row>
    <row r="12" spans="1:5" ht="16" x14ac:dyDescent="0.2">
      <c r="A12" s="2" t="s">
        <v>62</v>
      </c>
      <c r="B12" s="3" t="s">
        <v>142</v>
      </c>
      <c r="C12" s="4">
        <v>1924</v>
      </c>
      <c r="D12" s="4">
        <v>965406.75</v>
      </c>
      <c r="E12" s="5" t="s">
        <v>353</v>
      </c>
    </row>
    <row r="13" spans="1:5" ht="16" x14ac:dyDescent="0.2">
      <c r="A13" s="2" t="s">
        <v>146</v>
      </c>
      <c r="B13" s="3" t="s">
        <v>81</v>
      </c>
      <c r="C13" s="4">
        <v>1970</v>
      </c>
      <c r="D13" s="4">
        <v>933072.5</v>
      </c>
      <c r="E13" s="5" t="s">
        <v>412</v>
      </c>
    </row>
    <row r="14" spans="1:5" ht="16" x14ac:dyDescent="0.2">
      <c r="A14" s="2" t="s">
        <v>64</v>
      </c>
      <c r="B14" s="3" t="s">
        <v>71</v>
      </c>
      <c r="C14" s="4">
        <v>1940</v>
      </c>
      <c r="D14" s="4">
        <v>923136.5</v>
      </c>
      <c r="E14" s="5" t="s">
        <v>336</v>
      </c>
    </row>
    <row r="15" spans="1:5" ht="16" x14ac:dyDescent="0.2">
      <c r="A15" s="2" t="s">
        <v>66</v>
      </c>
      <c r="B15" s="3" t="s">
        <v>230</v>
      </c>
      <c r="C15" s="4">
        <v>1660</v>
      </c>
      <c r="D15" s="4">
        <v>896548.7</v>
      </c>
      <c r="E15" s="5" t="s">
        <v>314</v>
      </c>
    </row>
    <row r="16" spans="1:5" ht="16" x14ac:dyDescent="0.2">
      <c r="A16" s="2" t="s">
        <v>68</v>
      </c>
      <c r="B16" s="3" t="s">
        <v>4</v>
      </c>
      <c r="C16" s="4">
        <v>1851</v>
      </c>
      <c r="D16" s="4">
        <v>866854</v>
      </c>
      <c r="E16" s="5" t="s">
        <v>334</v>
      </c>
    </row>
    <row r="17" spans="1:5" ht="16" x14ac:dyDescent="0.2">
      <c r="A17" s="2" t="s">
        <v>147</v>
      </c>
      <c r="B17" s="3" t="s">
        <v>63</v>
      </c>
      <c r="C17" s="4">
        <v>1782</v>
      </c>
      <c r="D17" s="4">
        <v>842437</v>
      </c>
      <c r="E17" s="5" t="s">
        <v>286</v>
      </c>
    </row>
    <row r="18" spans="1:5" ht="16" x14ac:dyDescent="0.2">
      <c r="A18" s="2" t="s">
        <v>70</v>
      </c>
      <c r="B18" s="3" t="s">
        <v>67</v>
      </c>
      <c r="C18" s="4">
        <v>1719</v>
      </c>
      <c r="D18" s="4">
        <v>836555</v>
      </c>
      <c r="E18" s="5" t="s">
        <v>286</v>
      </c>
    </row>
    <row r="19" spans="1:5" ht="16" x14ac:dyDescent="0.2">
      <c r="A19" s="2" t="s">
        <v>72</v>
      </c>
      <c r="B19" s="3" t="s">
        <v>144</v>
      </c>
      <c r="C19" s="4">
        <v>1564</v>
      </c>
      <c r="D19" s="4">
        <v>761138</v>
      </c>
      <c r="E19" s="5" t="s">
        <v>395</v>
      </c>
    </row>
    <row r="20" spans="1:5" ht="16" x14ac:dyDescent="0.2">
      <c r="A20" s="2" t="s">
        <v>157</v>
      </c>
      <c r="B20" s="3" t="s">
        <v>88</v>
      </c>
      <c r="C20" s="4">
        <v>1380</v>
      </c>
      <c r="D20" s="4">
        <v>708037.5</v>
      </c>
      <c r="E20" s="5" t="s">
        <v>316</v>
      </c>
    </row>
    <row r="21" spans="1:5" ht="16" x14ac:dyDescent="0.2">
      <c r="A21" s="2" t="s">
        <v>75</v>
      </c>
      <c r="B21" s="3" t="s">
        <v>61</v>
      </c>
      <c r="C21" s="4">
        <v>1496</v>
      </c>
      <c r="D21" s="4">
        <v>699981</v>
      </c>
      <c r="E21" s="5" t="s">
        <v>318</v>
      </c>
    </row>
    <row r="22" spans="1:5" ht="16" x14ac:dyDescent="0.2">
      <c r="A22" s="2" t="s">
        <v>76</v>
      </c>
      <c r="B22" s="3" t="s">
        <v>93</v>
      </c>
      <c r="C22" s="4">
        <v>1348</v>
      </c>
      <c r="D22" s="4">
        <v>699397</v>
      </c>
      <c r="E22" s="5" t="s">
        <v>318</v>
      </c>
    </row>
    <row r="23" spans="1:5" ht="16" x14ac:dyDescent="0.2">
      <c r="A23" s="2" t="s">
        <v>78</v>
      </c>
      <c r="B23" s="3" t="s">
        <v>188</v>
      </c>
      <c r="C23" s="4">
        <v>1555</v>
      </c>
      <c r="D23" s="4">
        <v>689022</v>
      </c>
      <c r="E23" s="5" t="s">
        <v>337</v>
      </c>
    </row>
    <row r="24" spans="1:5" ht="16" x14ac:dyDescent="0.2">
      <c r="A24" s="2" t="s">
        <v>148</v>
      </c>
      <c r="B24" s="3" t="s">
        <v>172</v>
      </c>
      <c r="C24" s="4">
        <v>1300</v>
      </c>
      <c r="D24" s="4">
        <v>684228</v>
      </c>
      <c r="E24" s="5" t="s">
        <v>337</v>
      </c>
    </row>
    <row r="25" spans="1:5" ht="16" x14ac:dyDescent="0.2">
      <c r="A25" s="2" t="s">
        <v>80</v>
      </c>
      <c r="B25" s="3" t="s">
        <v>77</v>
      </c>
      <c r="C25" s="4">
        <v>1298</v>
      </c>
      <c r="D25" s="4">
        <v>679423</v>
      </c>
      <c r="E25" s="5" t="s">
        <v>285</v>
      </c>
    </row>
    <row r="26" spans="1:5" ht="16" x14ac:dyDescent="0.2">
      <c r="A26" s="2" t="s">
        <v>82</v>
      </c>
      <c r="B26" s="3" t="s">
        <v>229</v>
      </c>
      <c r="C26" s="4">
        <v>1498</v>
      </c>
      <c r="D26" s="4">
        <v>676782.5</v>
      </c>
      <c r="E26" s="5" t="s">
        <v>285</v>
      </c>
    </row>
    <row r="27" spans="1:5" ht="16" x14ac:dyDescent="0.2">
      <c r="A27" s="2" t="s">
        <v>83</v>
      </c>
      <c r="B27" s="3" t="s">
        <v>3</v>
      </c>
      <c r="C27" s="4">
        <v>1475</v>
      </c>
      <c r="D27" s="4">
        <v>674313</v>
      </c>
      <c r="E27" s="5" t="s">
        <v>285</v>
      </c>
    </row>
    <row r="28" spans="1:5" ht="16" x14ac:dyDescent="0.2">
      <c r="A28" s="2" t="s">
        <v>85</v>
      </c>
      <c r="B28" s="3" t="s">
        <v>145</v>
      </c>
      <c r="C28" s="4">
        <v>1405</v>
      </c>
      <c r="D28" s="4">
        <v>660359</v>
      </c>
      <c r="E28" s="5" t="s">
        <v>272</v>
      </c>
    </row>
    <row r="29" spans="1:5" ht="16" x14ac:dyDescent="0.2">
      <c r="A29" s="2" t="s">
        <v>87</v>
      </c>
      <c r="B29" s="3" t="s">
        <v>100</v>
      </c>
      <c r="C29" s="4">
        <v>1329</v>
      </c>
      <c r="D29" s="4">
        <v>638256</v>
      </c>
      <c r="E29" s="5" t="s">
        <v>263</v>
      </c>
    </row>
    <row r="30" spans="1:5" ht="16" x14ac:dyDescent="0.2">
      <c r="A30" s="2" t="s">
        <v>89</v>
      </c>
      <c r="B30" s="3" t="s">
        <v>348</v>
      </c>
      <c r="C30" s="4">
        <v>1373</v>
      </c>
      <c r="D30" s="4">
        <v>633159</v>
      </c>
      <c r="E30" s="5" t="s">
        <v>275</v>
      </c>
    </row>
    <row r="31" spans="1:5" ht="16" x14ac:dyDescent="0.2">
      <c r="A31" s="2" t="s">
        <v>90</v>
      </c>
      <c r="B31" s="3" t="s">
        <v>79</v>
      </c>
      <c r="C31" s="4">
        <v>1576</v>
      </c>
      <c r="D31" s="4">
        <v>626288</v>
      </c>
      <c r="E31" s="5" t="s">
        <v>275</v>
      </c>
    </row>
    <row r="32" spans="1:5" ht="16" x14ac:dyDescent="0.2">
      <c r="A32" s="2" t="s">
        <v>92</v>
      </c>
      <c r="B32" s="3" t="s">
        <v>113</v>
      </c>
      <c r="C32" s="4">
        <v>1226</v>
      </c>
      <c r="D32" s="4">
        <v>618278.74</v>
      </c>
      <c r="E32" s="5" t="s">
        <v>304</v>
      </c>
    </row>
    <row r="33" spans="1:5" ht="16" x14ac:dyDescent="0.2">
      <c r="A33" s="2" t="s">
        <v>94</v>
      </c>
      <c r="B33" s="3" t="s">
        <v>5</v>
      </c>
      <c r="C33" s="4">
        <v>1183</v>
      </c>
      <c r="D33" s="4">
        <v>608686</v>
      </c>
      <c r="E33" s="5" t="s">
        <v>264</v>
      </c>
    </row>
    <row r="34" spans="1:5" ht="16" x14ac:dyDescent="0.2">
      <c r="A34" s="2" t="s">
        <v>96</v>
      </c>
      <c r="B34" s="3" t="s">
        <v>187</v>
      </c>
      <c r="C34" s="4">
        <v>1439</v>
      </c>
      <c r="D34" s="4">
        <v>608567</v>
      </c>
      <c r="E34" s="5" t="s">
        <v>264</v>
      </c>
    </row>
    <row r="35" spans="1:5" ht="16" x14ac:dyDescent="0.2">
      <c r="A35" s="2" t="s">
        <v>159</v>
      </c>
      <c r="B35" s="3" t="s">
        <v>210</v>
      </c>
      <c r="C35" s="4">
        <v>1254</v>
      </c>
      <c r="D35" s="4">
        <v>602251</v>
      </c>
      <c r="E35" s="5" t="s">
        <v>199</v>
      </c>
    </row>
    <row r="36" spans="1:5" ht="16" x14ac:dyDescent="0.2">
      <c r="A36" s="2" t="s">
        <v>98</v>
      </c>
      <c r="B36" s="3" t="s">
        <v>262</v>
      </c>
      <c r="C36" s="4">
        <v>1154</v>
      </c>
      <c r="D36" s="4">
        <v>601231.5</v>
      </c>
      <c r="E36" s="5" t="s">
        <v>199</v>
      </c>
    </row>
    <row r="37" spans="1:5" ht="16" x14ac:dyDescent="0.2">
      <c r="A37" s="2" t="s">
        <v>160</v>
      </c>
      <c r="B37" s="3" t="s">
        <v>39</v>
      </c>
      <c r="C37" s="4">
        <v>1384</v>
      </c>
      <c r="D37" s="4">
        <v>597504</v>
      </c>
      <c r="E37" s="5" t="s">
        <v>346</v>
      </c>
    </row>
    <row r="38" spans="1:5" ht="16" x14ac:dyDescent="0.2">
      <c r="A38" s="2" t="s">
        <v>101</v>
      </c>
      <c r="B38" s="3" t="s">
        <v>170</v>
      </c>
      <c r="C38" s="4">
        <v>1182</v>
      </c>
      <c r="D38" s="4">
        <v>593370.5</v>
      </c>
      <c r="E38" s="5" t="s">
        <v>346</v>
      </c>
    </row>
    <row r="39" spans="1:5" ht="16" x14ac:dyDescent="0.2">
      <c r="A39" s="2" t="s">
        <v>103</v>
      </c>
      <c r="B39" s="3" t="s">
        <v>121</v>
      </c>
      <c r="C39" s="4">
        <v>1150</v>
      </c>
      <c r="D39" s="4">
        <v>582021.5</v>
      </c>
      <c r="E39" s="5" t="s">
        <v>347</v>
      </c>
    </row>
    <row r="40" spans="1:5" ht="16" x14ac:dyDescent="0.2">
      <c r="A40" s="2" t="s">
        <v>105</v>
      </c>
      <c r="B40" s="3" t="s">
        <v>95</v>
      </c>
      <c r="C40" s="4">
        <v>1144</v>
      </c>
      <c r="D40" s="4">
        <v>564404.5</v>
      </c>
      <c r="E40" s="5" t="s">
        <v>282</v>
      </c>
    </row>
    <row r="41" spans="1:5" ht="16" x14ac:dyDescent="0.2">
      <c r="A41" s="2" t="s">
        <v>107</v>
      </c>
      <c r="B41" s="3" t="s">
        <v>211</v>
      </c>
      <c r="C41" s="4">
        <v>1272</v>
      </c>
      <c r="D41" s="4">
        <v>553114.61</v>
      </c>
      <c r="E41" s="5" t="s">
        <v>276</v>
      </c>
    </row>
    <row r="42" spans="1:5" ht="16" x14ac:dyDescent="0.2">
      <c r="A42" s="2" t="s">
        <v>109</v>
      </c>
      <c r="B42" s="3" t="s">
        <v>326</v>
      </c>
      <c r="C42" s="4">
        <v>1163</v>
      </c>
      <c r="D42" s="4">
        <v>552269.69999999995</v>
      </c>
      <c r="E42" s="5" t="s">
        <v>276</v>
      </c>
    </row>
    <row r="43" spans="1:5" ht="16" x14ac:dyDescent="0.2">
      <c r="A43" s="2" t="s">
        <v>111</v>
      </c>
      <c r="B43" s="3" t="s">
        <v>300</v>
      </c>
      <c r="C43" s="4">
        <v>1052</v>
      </c>
      <c r="D43" s="4">
        <v>545452.75</v>
      </c>
      <c r="E43" s="5" t="s">
        <v>305</v>
      </c>
    </row>
    <row r="44" spans="1:5" ht="16" x14ac:dyDescent="0.2">
      <c r="A44" s="2" t="s">
        <v>112</v>
      </c>
      <c r="B44" s="3" t="s">
        <v>99</v>
      </c>
      <c r="C44" s="4">
        <v>1176</v>
      </c>
      <c r="D44" s="4">
        <v>536146</v>
      </c>
      <c r="E44" s="5" t="s">
        <v>302</v>
      </c>
    </row>
    <row r="45" spans="1:5" ht="16" x14ac:dyDescent="0.2">
      <c r="A45" s="2" t="s">
        <v>114</v>
      </c>
      <c r="B45" s="3" t="s">
        <v>91</v>
      </c>
      <c r="C45" s="4">
        <v>1116</v>
      </c>
      <c r="D45" s="4">
        <v>532723</v>
      </c>
      <c r="E45" s="5" t="s">
        <v>302</v>
      </c>
    </row>
    <row r="46" spans="1:5" ht="16" x14ac:dyDescent="0.2">
      <c r="A46" s="2" t="s">
        <v>116</v>
      </c>
      <c r="B46" s="3" t="s">
        <v>1</v>
      </c>
      <c r="C46" s="4">
        <v>985</v>
      </c>
      <c r="D46" s="4">
        <v>512683.7</v>
      </c>
      <c r="E46" s="5" t="s">
        <v>266</v>
      </c>
    </row>
    <row r="47" spans="1:5" ht="16" x14ac:dyDescent="0.2">
      <c r="A47" s="2" t="s">
        <v>149</v>
      </c>
      <c r="B47" s="3" t="s">
        <v>299</v>
      </c>
      <c r="C47" s="4">
        <v>966</v>
      </c>
      <c r="D47" s="4">
        <v>510259.5</v>
      </c>
      <c r="E47" s="5" t="s">
        <v>266</v>
      </c>
    </row>
    <row r="48" spans="1:5" ht="16" x14ac:dyDescent="0.2">
      <c r="A48" s="2" t="s">
        <v>117</v>
      </c>
      <c r="B48" s="3" t="s">
        <v>108</v>
      </c>
      <c r="C48" s="4">
        <v>1044</v>
      </c>
      <c r="D48" s="4">
        <v>506978</v>
      </c>
      <c r="E48" s="5" t="s">
        <v>266</v>
      </c>
    </row>
    <row r="49" spans="1:5" ht="16" x14ac:dyDescent="0.2">
      <c r="A49" s="2" t="s">
        <v>119</v>
      </c>
      <c r="B49" s="3" t="s">
        <v>102</v>
      </c>
      <c r="C49" s="4">
        <v>930</v>
      </c>
      <c r="D49" s="4">
        <v>505586.5</v>
      </c>
      <c r="E49" s="5" t="s">
        <v>266</v>
      </c>
    </row>
    <row r="50" spans="1:5" ht="16" x14ac:dyDescent="0.2">
      <c r="A50" s="2" t="s">
        <v>120</v>
      </c>
      <c r="B50" s="3" t="s">
        <v>110</v>
      </c>
      <c r="C50" s="4">
        <v>1037</v>
      </c>
      <c r="D50" s="4">
        <v>503603</v>
      </c>
      <c r="E50" s="5" t="s">
        <v>306</v>
      </c>
    </row>
    <row r="51" spans="1:5" ht="16" x14ac:dyDescent="0.2">
      <c r="A51" s="2" t="s">
        <v>122</v>
      </c>
      <c r="B51" s="3" t="s">
        <v>237</v>
      </c>
      <c r="C51" s="4">
        <v>930</v>
      </c>
      <c r="D51" s="4">
        <v>465863</v>
      </c>
      <c r="E51" s="5" t="s">
        <v>288</v>
      </c>
    </row>
    <row r="52" spans="1:5" ht="16" x14ac:dyDescent="0.2">
      <c r="A52" s="2" t="s">
        <v>123</v>
      </c>
      <c r="B52" s="3" t="s">
        <v>245</v>
      </c>
      <c r="C52" s="4">
        <v>1069</v>
      </c>
      <c r="D52" s="4">
        <v>464770</v>
      </c>
      <c r="E52" s="5" t="s">
        <v>288</v>
      </c>
    </row>
    <row r="53" spans="1:5" ht="16" x14ac:dyDescent="0.2">
      <c r="A53" s="2" t="s">
        <v>125</v>
      </c>
      <c r="B53" s="3" t="s">
        <v>183</v>
      </c>
      <c r="C53" s="4">
        <v>3170</v>
      </c>
      <c r="D53" s="4">
        <v>458425.39999999991</v>
      </c>
      <c r="E53" s="5" t="s">
        <v>288</v>
      </c>
    </row>
    <row r="54" spans="1:5" ht="16" x14ac:dyDescent="0.2">
      <c r="A54" s="2" t="s">
        <v>127</v>
      </c>
      <c r="B54" s="3" t="s">
        <v>274</v>
      </c>
      <c r="C54" s="4">
        <v>1030</v>
      </c>
      <c r="D54" s="4">
        <v>455910</v>
      </c>
      <c r="E54" s="5" t="s">
        <v>269</v>
      </c>
    </row>
    <row r="55" spans="1:5" ht="16" x14ac:dyDescent="0.2">
      <c r="A55" s="2" t="s">
        <v>161</v>
      </c>
      <c r="B55" s="3" t="s">
        <v>104</v>
      </c>
      <c r="C55" s="4">
        <v>1165</v>
      </c>
      <c r="D55" s="4">
        <v>443361</v>
      </c>
      <c r="E55" s="5" t="s">
        <v>248</v>
      </c>
    </row>
    <row r="56" spans="1:5" ht="16" x14ac:dyDescent="0.2">
      <c r="A56" s="2" t="s">
        <v>129</v>
      </c>
      <c r="B56" s="3" t="s">
        <v>227</v>
      </c>
      <c r="C56" s="4">
        <v>998</v>
      </c>
      <c r="D56" s="4">
        <v>429769</v>
      </c>
      <c r="E56" s="5" t="s">
        <v>222</v>
      </c>
    </row>
    <row r="57" spans="1:5" ht="16" x14ac:dyDescent="0.2">
      <c r="A57" s="2" t="s">
        <v>130</v>
      </c>
      <c r="B57" s="3" t="s">
        <v>40</v>
      </c>
      <c r="C57" s="4">
        <v>863</v>
      </c>
      <c r="D57" s="4">
        <v>424306.5</v>
      </c>
      <c r="E57" s="5" t="s">
        <v>226</v>
      </c>
    </row>
    <row r="58" spans="1:5" ht="16" x14ac:dyDescent="0.2">
      <c r="A58" s="2" t="s">
        <v>162</v>
      </c>
      <c r="B58" s="3" t="s">
        <v>115</v>
      </c>
      <c r="C58" s="4">
        <v>892</v>
      </c>
      <c r="D58" s="4">
        <v>416919</v>
      </c>
      <c r="E58" s="5" t="s">
        <v>280</v>
      </c>
    </row>
    <row r="59" spans="1:5" ht="16" x14ac:dyDescent="0.2">
      <c r="A59" s="2" t="s">
        <v>132</v>
      </c>
      <c r="B59" s="3" t="s">
        <v>246</v>
      </c>
      <c r="C59" s="4">
        <v>889</v>
      </c>
      <c r="D59" s="4">
        <v>406854</v>
      </c>
      <c r="E59" s="5" t="s">
        <v>311</v>
      </c>
    </row>
    <row r="60" spans="1:5" ht="16" x14ac:dyDescent="0.2">
      <c r="A60" s="2" t="s">
        <v>163</v>
      </c>
      <c r="B60" s="3" t="s">
        <v>73</v>
      </c>
      <c r="C60" s="4">
        <v>957</v>
      </c>
      <c r="D60" s="4">
        <v>402786</v>
      </c>
      <c r="E60" s="5" t="s">
        <v>311</v>
      </c>
    </row>
    <row r="61" spans="1:5" ht="16" x14ac:dyDescent="0.2">
      <c r="A61" s="2" t="s">
        <v>133</v>
      </c>
      <c r="B61" s="3" t="s">
        <v>143</v>
      </c>
      <c r="C61" s="4">
        <v>817</v>
      </c>
      <c r="D61" s="4">
        <v>397137</v>
      </c>
      <c r="E61" s="5" t="s">
        <v>289</v>
      </c>
    </row>
    <row r="62" spans="1:5" ht="16" x14ac:dyDescent="0.2">
      <c r="A62" s="2" t="s">
        <v>134</v>
      </c>
      <c r="B62" s="3" t="s">
        <v>184</v>
      </c>
      <c r="C62" s="4">
        <v>825</v>
      </c>
      <c r="D62" s="4">
        <v>391137</v>
      </c>
      <c r="E62" s="5" t="s">
        <v>289</v>
      </c>
    </row>
    <row r="63" spans="1:5" ht="16" x14ac:dyDescent="0.2">
      <c r="A63" s="2" t="s">
        <v>135</v>
      </c>
      <c r="B63" s="3" t="s">
        <v>51</v>
      </c>
      <c r="C63" s="4">
        <v>718</v>
      </c>
      <c r="D63" s="4">
        <v>389084.3</v>
      </c>
      <c r="E63" s="5" t="s">
        <v>354</v>
      </c>
    </row>
    <row r="64" spans="1:5" ht="16" x14ac:dyDescent="0.2">
      <c r="A64" s="2" t="s">
        <v>136</v>
      </c>
      <c r="B64" s="3" t="s">
        <v>126</v>
      </c>
      <c r="C64" s="4">
        <v>772</v>
      </c>
      <c r="D64" s="4">
        <v>376569</v>
      </c>
      <c r="E64" s="5" t="s">
        <v>271</v>
      </c>
    </row>
    <row r="65" spans="1:5" ht="16" x14ac:dyDescent="0.2">
      <c r="A65" s="2" t="s">
        <v>164</v>
      </c>
      <c r="B65" s="3" t="s">
        <v>124</v>
      </c>
      <c r="C65" s="4">
        <v>807</v>
      </c>
      <c r="D65" s="4">
        <v>372981</v>
      </c>
      <c r="E65" s="5" t="s">
        <v>271</v>
      </c>
    </row>
    <row r="66" spans="1:5" ht="16" x14ac:dyDescent="0.2">
      <c r="A66" s="2" t="s">
        <v>137</v>
      </c>
      <c r="B66" s="3" t="s">
        <v>106</v>
      </c>
      <c r="C66" s="4">
        <v>685</v>
      </c>
      <c r="D66" s="4">
        <v>370668.6</v>
      </c>
      <c r="E66" s="5" t="s">
        <v>307</v>
      </c>
    </row>
    <row r="67" spans="1:5" ht="16" x14ac:dyDescent="0.2">
      <c r="A67" s="2" t="s">
        <v>150</v>
      </c>
      <c r="B67" s="3" t="s">
        <v>165</v>
      </c>
      <c r="C67" s="4">
        <v>749</v>
      </c>
      <c r="D67" s="4">
        <v>366269</v>
      </c>
      <c r="E67" s="5" t="s">
        <v>307</v>
      </c>
    </row>
    <row r="68" spans="1:5" ht="16" x14ac:dyDescent="0.2">
      <c r="A68" s="2" t="s">
        <v>138</v>
      </c>
      <c r="B68" s="3" t="s">
        <v>86</v>
      </c>
      <c r="C68" s="4">
        <v>663</v>
      </c>
      <c r="D68" s="4">
        <v>362091.9</v>
      </c>
      <c r="E68" s="5" t="s">
        <v>277</v>
      </c>
    </row>
    <row r="69" spans="1:5" ht="16" x14ac:dyDescent="0.2">
      <c r="A69" s="2" t="s">
        <v>151</v>
      </c>
      <c r="B69" s="3" t="s">
        <v>240</v>
      </c>
      <c r="C69" s="4">
        <v>700</v>
      </c>
      <c r="D69" s="4">
        <v>337333</v>
      </c>
      <c r="E69" s="5" t="s">
        <v>396</v>
      </c>
    </row>
    <row r="70" spans="1:5" ht="16" x14ac:dyDescent="0.2">
      <c r="A70" s="2" t="s">
        <v>153</v>
      </c>
      <c r="B70" s="3" t="s">
        <v>197</v>
      </c>
      <c r="C70" s="4">
        <v>771</v>
      </c>
      <c r="D70" s="4">
        <v>334278</v>
      </c>
      <c r="E70" s="5" t="s">
        <v>396</v>
      </c>
    </row>
    <row r="71" spans="1:5" ht="16" x14ac:dyDescent="0.2">
      <c r="A71" s="2" t="s">
        <v>166</v>
      </c>
      <c r="B71" s="3" t="s">
        <v>325</v>
      </c>
      <c r="C71" s="4">
        <v>899</v>
      </c>
      <c r="D71" s="4">
        <v>333632</v>
      </c>
      <c r="E71" s="5" t="s">
        <v>324</v>
      </c>
    </row>
    <row r="72" spans="1:5" ht="16" x14ac:dyDescent="0.2">
      <c r="A72" s="2" t="s">
        <v>167</v>
      </c>
      <c r="B72" s="3" t="s">
        <v>118</v>
      </c>
      <c r="C72" s="4">
        <v>767</v>
      </c>
      <c r="D72" s="4">
        <v>331854</v>
      </c>
      <c r="E72" s="5" t="s">
        <v>324</v>
      </c>
    </row>
    <row r="73" spans="1:5" ht="16" x14ac:dyDescent="0.2">
      <c r="A73" s="2" t="s">
        <v>173</v>
      </c>
      <c r="B73" s="3" t="s">
        <v>158</v>
      </c>
      <c r="C73" s="4">
        <v>27</v>
      </c>
      <c r="D73" s="4">
        <v>323950</v>
      </c>
      <c r="E73" s="5" t="s">
        <v>349</v>
      </c>
    </row>
    <row r="74" spans="1:5" ht="16" x14ac:dyDescent="0.2">
      <c r="A74" s="2" t="s">
        <v>174</v>
      </c>
      <c r="B74" s="3" t="s">
        <v>190</v>
      </c>
      <c r="C74" s="4">
        <v>701</v>
      </c>
      <c r="D74" s="4">
        <v>323220</v>
      </c>
      <c r="E74" s="5" t="s">
        <v>349</v>
      </c>
    </row>
    <row r="75" spans="1:5" ht="16" x14ac:dyDescent="0.2">
      <c r="A75" s="2" t="s">
        <v>175</v>
      </c>
      <c r="B75" s="3" t="s">
        <v>131</v>
      </c>
      <c r="C75" s="4">
        <v>605</v>
      </c>
      <c r="D75" s="4">
        <v>321432</v>
      </c>
      <c r="E75" s="5" t="s">
        <v>349</v>
      </c>
    </row>
    <row r="76" spans="1:5" ht="16" x14ac:dyDescent="0.2">
      <c r="A76" s="2" t="s">
        <v>177</v>
      </c>
      <c r="B76" s="3" t="s">
        <v>97</v>
      </c>
      <c r="C76" s="4">
        <v>775</v>
      </c>
      <c r="D76" s="4">
        <v>318584</v>
      </c>
      <c r="E76" s="5" t="s">
        <v>349</v>
      </c>
    </row>
    <row r="77" spans="1:5" ht="16" x14ac:dyDescent="0.2">
      <c r="A77" s="2" t="s">
        <v>178</v>
      </c>
      <c r="B77" s="3" t="s">
        <v>59</v>
      </c>
      <c r="C77" s="4">
        <v>742</v>
      </c>
      <c r="D77" s="4">
        <v>310177</v>
      </c>
      <c r="E77" s="5" t="s">
        <v>267</v>
      </c>
    </row>
    <row r="78" spans="1:5" ht="16" x14ac:dyDescent="0.2">
      <c r="A78" s="2" t="s">
        <v>185</v>
      </c>
      <c r="B78" s="3" t="s">
        <v>196</v>
      </c>
      <c r="C78" s="4">
        <v>711</v>
      </c>
      <c r="D78" s="4">
        <v>299997</v>
      </c>
      <c r="E78" s="5" t="s">
        <v>295</v>
      </c>
    </row>
    <row r="79" spans="1:5" ht="16" x14ac:dyDescent="0.2">
      <c r="A79" s="2" t="s">
        <v>186</v>
      </c>
      <c r="B79" s="3" t="s">
        <v>313</v>
      </c>
      <c r="C79" s="4">
        <v>788</v>
      </c>
      <c r="D79" s="4">
        <v>295409</v>
      </c>
      <c r="E79" s="5" t="s">
        <v>308</v>
      </c>
    </row>
    <row r="80" spans="1:5" ht="16" x14ac:dyDescent="0.2">
      <c r="A80" s="2" t="s">
        <v>201</v>
      </c>
      <c r="B80" s="3" t="s">
        <v>128</v>
      </c>
      <c r="C80" s="4">
        <v>668</v>
      </c>
      <c r="D80" s="4">
        <v>293642</v>
      </c>
      <c r="E80" s="5" t="s">
        <v>308</v>
      </c>
    </row>
    <row r="81" spans="1:5" ht="16" x14ac:dyDescent="0.2">
      <c r="A81" s="2" t="s">
        <v>202</v>
      </c>
      <c r="B81" s="3" t="s">
        <v>152</v>
      </c>
      <c r="C81" s="4">
        <v>620</v>
      </c>
      <c r="D81" s="4">
        <v>293066</v>
      </c>
      <c r="E81" s="5" t="s">
        <v>308</v>
      </c>
    </row>
    <row r="82" spans="1:5" ht="16" x14ac:dyDescent="0.2">
      <c r="A82" s="2" t="s">
        <v>203</v>
      </c>
      <c r="B82" s="3" t="s">
        <v>69</v>
      </c>
      <c r="C82" s="4">
        <v>655</v>
      </c>
      <c r="D82" s="4">
        <v>285657.86</v>
      </c>
      <c r="E82" s="5" t="s">
        <v>350</v>
      </c>
    </row>
    <row r="83" spans="1:5" ht="16" x14ac:dyDescent="0.2">
      <c r="A83" s="2" t="s">
        <v>204</v>
      </c>
      <c r="B83" s="3" t="s">
        <v>320</v>
      </c>
      <c r="C83" s="4">
        <v>698</v>
      </c>
      <c r="D83" s="4">
        <v>284198.55</v>
      </c>
      <c r="E83" s="5" t="s">
        <v>350</v>
      </c>
    </row>
    <row r="84" spans="1:5" ht="16" x14ac:dyDescent="0.2">
      <c r="A84" s="2" t="s">
        <v>205</v>
      </c>
      <c r="B84" s="3" t="s">
        <v>228</v>
      </c>
      <c r="C84" s="4">
        <v>586</v>
      </c>
      <c r="D84" s="4">
        <v>272384</v>
      </c>
      <c r="E84" s="5" t="s">
        <v>312</v>
      </c>
    </row>
    <row r="85" spans="1:5" ht="16" x14ac:dyDescent="0.2">
      <c r="A85" s="2" t="s">
        <v>212</v>
      </c>
      <c r="B85" s="3" t="s">
        <v>268</v>
      </c>
      <c r="C85" s="4">
        <v>546</v>
      </c>
      <c r="D85" s="4">
        <v>271963</v>
      </c>
      <c r="E85" s="5" t="s">
        <v>312</v>
      </c>
    </row>
    <row r="86" spans="1:5" ht="16" x14ac:dyDescent="0.2">
      <c r="A86" s="2" t="s">
        <v>217</v>
      </c>
      <c r="B86" s="3" t="s">
        <v>374</v>
      </c>
      <c r="C86" s="4">
        <v>643</v>
      </c>
      <c r="D86" s="4">
        <v>258615</v>
      </c>
      <c r="E86" s="5" t="s">
        <v>278</v>
      </c>
    </row>
    <row r="87" spans="1:5" ht="16" x14ac:dyDescent="0.2">
      <c r="A87" s="2" t="s">
        <v>218</v>
      </c>
      <c r="B87" s="3" t="s">
        <v>342</v>
      </c>
      <c r="C87" s="4">
        <v>718</v>
      </c>
      <c r="D87" s="4">
        <v>256384</v>
      </c>
      <c r="E87" s="5" t="s">
        <v>278</v>
      </c>
    </row>
    <row r="88" spans="1:5" ht="16" x14ac:dyDescent="0.2">
      <c r="A88" s="2" t="s">
        <v>219</v>
      </c>
      <c r="B88" s="3" t="s">
        <v>351</v>
      </c>
      <c r="C88" s="4">
        <v>718</v>
      </c>
      <c r="D88" s="4">
        <v>248457.5</v>
      </c>
      <c r="E88" s="5" t="s">
        <v>335</v>
      </c>
    </row>
    <row r="89" spans="1:5" ht="16" x14ac:dyDescent="0.2">
      <c r="A89" s="2" t="s">
        <v>232</v>
      </c>
      <c r="B89" s="3" t="s">
        <v>37</v>
      </c>
      <c r="C89" s="4">
        <v>643</v>
      </c>
      <c r="D89" s="4">
        <v>239548</v>
      </c>
      <c r="E89" s="5" t="s">
        <v>371</v>
      </c>
    </row>
    <row r="90" spans="1:5" ht="16" x14ac:dyDescent="0.2">
      <c r="A90" s="2" t="s">
        <v>233</v>
      </c>
      <c r="B90" s="3" t="s">
        <v>225</v>
      </c>
      <c r="C90" s="4">
        <v>506</v>
      </c>
      <c r="D90" s="4">
        <v>231362</v>
      </c>
      <c r="E90" s="5" t="s">
        <v>371</v>
      </c>
    </row>
    <row r="91" spans="1:5" ht="16" x14ac:dyDescent="0.2">
      <c r="A91" s="2" t="s">
        <v>234</v>
      </c>
      <c r="B91" s="3" t="s">
        <v>239</v>
      </c>
      <c r="C91" s="4">
        <v>433</v>
      </c>
      <c r="D91" s="4">
        <v>220050</v>
      </c>
      <c r="E91" s="5" t="s">
        <v>283</v>
      </c>
    </row>
    <row r="92" spans="1:5" ht="16" x14ac:dyDescent="0.2">
      <c r="A92" s="2" t="s">
        <v>235</v>
      </c>
      <c r="B92" s="3" t="s">
        <v>36</v>
      </c>
      <c r="C92" s="4">
        <v>533</v>
      </c>
      <c r="D92" s="4">
        <v>176953</v>
      </c>
      <c r="E92" s="5" t="s">
        <v>352</v>
      </c>
    </row>
    <row r="93" spans="1:5" ht="16" x14ac:dyDescent="0.2">
      <c r="A93" s="2" t="s">
        <v>236</v>
      </c>
      <c r="B93" s="3" t="s">
        <v>247</v>
      </c>
      <c r="C93" s="4">
        <v>478</v>
      </c>
      <c r="D93" s="4">
        <v>151964</v>
      </c>
      <c r="E93" s="5" t="s">
        <v>292</v>
      </c>
    </row>
    <row r="94" spans="1:5" ht="16" x14ac:dyDescent="0.2">
      <c r="A94" s="2" t="s">
        <v>241</v>
      </c>
      <c r="B94" s="3" t="s">
        <v>373</v>
      </c>
      <c r="C94" s="4">
        <v>339</v>
      </c>
      <c r="D94" s="4">
        <v>147217</v>
      </c>
      <c r="E94" s="5" t="s">
        <v>292</v>
      </c>
    </row>
    <row r="95" spans="1:5" ht="16" x14ac:dyDescent="0.2">
      <c r="A95" s="2" t="s">
        <v>242</v>
      </c>
      <c r="B95" s="3" t="s">
        <v>198</v>
      </c>
      <c r="C95" s="4">
        <v>287</v>
      </c>
      <c r="D95" s="4">
        <v>131864</v>
      </c>
      <c r="E95" s="5" t="s">
        <v>345</v>
      </c>
    </row>
    <row r="96" spans="1:5" ht="16" x14ac:dyDescent="0.2">
      <c r="A96" s="2" t="s">
        <v>250</v>
      </c>
      <c r="B96" s="3" t="s">
        <v>6</v>
      </c>
      <c r="C96" s="4">
        <v>324</v>
      </c>
      <c r="D96" s="4">
        <v>113721</v>
      </c>
      <c r="E96" s="5" t="s">
        <v>281</v>
      </c>
    </row>
    <row r="97" spans="1:5" ht="16" x14ac:dyDescent="0.2">
      <c r="A97" s="2" t="s">
        <v>251</v>
      </c>
      <c r="B97" s="3" t="s">
        <v>7</v>
      </c>
      <c r="C97" s="4">
        <v>314</v>
      </c>
      <c r="D97" s="4">
        <v>110608</v>
      </c>
      <c r="E97" s="5" t="s">
        <v>281</v>
      </c>
    </row>
    <row r="98" spans="1:5" ht="16" x14ac:dyDescent="0.2">
      <c r="A98" s="2" t="s">
        <v>252</v>
      </c>
      <c r="B98" s="3" t="s">
        <v>375</v>
      </c>
      <c r="C98" s="4">
        <v>143</v>
      </c>
      <c r="D98" s="4">
        <v>55522</v>
      </c>
      <c r="E98" s="5" t="s">
        <v>408</v>
      </c>
    </row>
    <row r="99" spans="1:5" ht="16" x14ac:dyDescent="0.2">
      <c r="A99" s="2" t="s">
        <v>253</v>
      </c>
      <c r="B99" s="3" t="s">
        <v>220</v>
      </c>
      <c r="C99" s="4">
        <v>14</v>
      </c>
      <c r="D99" s="4">
        <v>3314</v>
      </c>
      <c r="E99" s="5" t="s">
        <v>181</v>
      </c>
    </row>
    <row r="100" spans="1:5" ht="16" x14ac:dyDescent="0.2">
      <c r="A100" s="2" t="s">
        <v>254</v>
      </c>
      <c r="B100" s="3" t="s">
        <v>249</v>
      </c>
      <c r="C100" s="4">
        <v>0</v>
      </c>
      <c r="D100" s="4">
        <v>0</v>
      </c>
      <c r="E100" s="5" t="s">
        <v>181</v>
      </c>
    </row>
    <row r="101" spans="1:5" ht="16" x14ac:dyDescent="0.2">
      <c r="A101" s="2" t="s">
        <v>376</v>
      </c>
      <c r="B101" s="3" t="s">
        <v>221</v>
      </c>
      <c r="C101" s="4">
        <v>-38</v>
      </c>
      <c r="D101" s="4">
        <v>-4798.1000000000004</v>
      </c>
      <c r="E101" s="5" t="s">
        <v>377</v>
      </c>
    </row>
    <row r="102" spans="1:5" ht="16" x14ac:dyDescent="0.2">
      <c r="A102" s="2" t="s">
        <v>378</v>
      </c>
      <c r="B102" s="3" t="s">
        <v>182</v>
      </c>
      <c r="C102" s="4">
        <v>-3194</v>
      </c>
      <c r="D102" s="4">
        <v>-1067134.5399999984</v>
      </c>
      <c r="E102" s="5" t="s">
        <v>413</v>
      </c>
    </row>
    <row r="104" spans="1:5" ht="16" x14ac:dyDescent="0.2">
      <c r="B104" s="2" t="s">
        <v>139</v>
      </c>
      <c r="C104" s="6" t="s">
        <v>140</v>
      </c>
    </row>
    <row r="105" spans="1:5" ht="16" x14ac:dyDescent="0.2">
      <c r="B105" s="2" t="s">
        <v>141</v>
      </c>
      <c r="C105" s="6" t="s">
        <v>414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038-B555-7F4C-A170-734FE1AFA547}">
  <sheetPr codeName="Sheet7">
    <tabColor rgb="FF00A400"/>
  </sheetPr>
  <dimension ref="A1:BU72"/>
  <sheetViews>
    <sheetView tabSelected="1" zoomScale="37" zoomScaleNormal="37" workbookViewId="0">
      <pane ySplit="2" topLeftCell="A3" activePane="bottomLeft" state="frozen"/>
      <selection pane="bottomLeft" activeCell="H20" sqref="H20"/>
    </sheetView>
  </sheetViews>
  <sheetFormatPr baseColWidth="10" defaultRowHeight="18" x14ac:dyDescent="0.2"/>
  <cols>
    <col min="1" max="1" width="44.85546875" style="36" customWidth="1"/>
    <col min="2" max="2" width="17.140625" style="36" hidden="1" customWidth="1"/>
    <col min="3" max="3" width="16.7109375" style="36" customWidth="1"/>
    <col min="4" max="4" width="13.85546875" style="36" customWidth="1"/>
    <col min="5" max="5" width="17.28515625" style="36" customWidth="1"/>
    <col min="6" max="6" width="16" style="36" customWidth="1"/>
    <col min="7" max="7" width="11.42578125" style="36" customWidth="1"/>
    <col min="8" max="8" width="10.28515625" style="36" customWidth="1"/>
    <col min="9" max="9" width="8.140625" style="36" customWidth="1"/>
    <col min="10" max="10" width="11.5703125" style="36" customWidth="1"/>
    <col min="11" max="11" width="18.28515625" style="36" hidden="1" customWidth="1"/>
    <col min="12" max="12" width="12.42578125" style="36" customWidth="1"/>
    <col min="13" max="13" width="12.42578125" style="36" hidden="1" customWidth="1"/>
    <col min="14" max="14" width="13.5703125" style="36" customWidth="1"/>
    <col min="15" max="19" width="15.28515625" style="36" hidden="1" customWidth="1"/>
    <col min="20" max="20" width="14.140625" style="36" hidden="1" customWidth="1"/>
    <col min="21" max="21" width="12.42578125" style="36" hidden="1" customWidth="1"/>
    <col min="22" max="22" width="16.28515625" style="36" hidden="1" customWidth="1"/>
    <col min="23" max="23" width="18.5703125" style="36" hidden="1" customWidth="1"/>
    <col min="24" max="24" width="10.42578125" style="36" customWidth="1"/>
    <col min="25" max="25" width="10.140625" style="36" hidden="1" customWidth="1"/>
    <col min="26" max="26" width="14.85546875" style="36" hidden="1" customWidth="1"/>
    <col min="27" max="28" width="16" style="36" customWidth="1"/>
    <col min="29" max="29" width="13.85546875" style="36" customWidth="1"/>
    <col min="30" max="30" width="12.7109375" style="36" customWidth="1"/>
    <col min="31" max="31" width="14.85546875" style="36" hidden="1" customWidth="1"/>
    <col min="32" max="33" width="16" style="36" customWidth="1"/>
    <col min="34" max="34" width="13.85546875" style="36" customWidth="1"/>
    <col min="35" max="35" width="13.140625" style="36" customWidth="1"/>
    <col min="36" max="37" width="16" style="36" customWidth="1"/>
    <col min="38" max="40" width="15.140625" style="36" hidden="1" customWidth="1"/>
    <col min="41" max="41" width="13.85546875" style="36" customWidth="1"/>
    <col min="42" max="42" width="12.28515625" style="36" customWidth="1"/>
    <col min="43" max="43" width="64.7109375" style="39" customWidth="1"/>
    <col min="44" max="44" width="23" style="36" customWidth="1"/>
    <col min="45" max="45" width="64.85546875" style="36" customWidth="1"/>
    <col min="46" max="47" width="25.7109375" style="36" customWidth="1"/>
    <col min="48" max="48" width="19.28515625" style="36" customWidth="1"/>
    <col min="49" max="49" width="25.7109375" style="36" customWidth="1"/>
    <col min="50" max="50" width="20.28515625" style="36" customWidth="1"/>
    <col min="51" max="51" width="21" style="36" customWidth="1"/>
    <col min="52" max="52" width="25.28515625" style="36" customWidth="1"/>
    <col min="53" max="53" width="18.140625" style="36" customWidth="1"/>
    <col min="54" max="16384" width="10.7109375" style="36"/>
  </cols>
  <sheetData>
    <row r="1" spans="1:73" s="16" customFormat="1" ht="48" customHeight="1" x14ac:dyDescent="0.15">
      <c r="A1" s="75"/>
      <c r="B1" s="76" t="s">
        <v>168</v>
      </c>
      <c r="C1" s="77" t="s">
        <v>8</v>
      </c>
      <c r="D1" s="77" t="s">
        <v>8</v>
      </c>
      <c r="E1" s="161" t="s">
        <v>409</v>
      </c>
      <c r="F1" s="161"/>
      <c r="G1" s="161"/>
      <c r="H1" s="157" t="s">
        <v>10</v>
      </c>
      <c r="I1" s="157" t="s">
        <v>11</v>
      </c>
      <c r="J1" s="157" t="s">
        <v>12</v>
      </c>
      <c r="K1" s="157" t="s">
        <v>13</v>
      </c>
      <c r="L1" s="157" t="s">
        <v>14</v>
      </c>
      <c r="M1" s="162" t="s">
        <v>215</v>
      </c>
      <c r="N1" s="158" t="s">
        <v>25</v>
      </c>
      <c r="O1" s="159"/>
      <c r="P1" s="159"/>
      <c r="Q1" s="159"/>
      <c r="R1" s="159"/>
      <c r="S1" s="159"/>
      <c r="T1" s="159"/>
      <c r="U1" s="159"/>
      <c r="V1" s="159"/>
      <c r="W1" s="160"/>
      <c r="X1" s="157" t="s">
        <v>33</v>
      </c>
      <c r="Y1" s="157" t="s">
        <v>32</v>
      </c>
      <c r="Z1" s="157" t="s">
        <v>15</v>
      </c>
      <c r="AA1" s="157"/>
      <c r="AB1" s="157"/>
      <c r="AC1" s="157"/>
      <c r="AD1" s="157"/>
      <c r="AE1" s="157" t="s">
        <v>16</v>
      </c>
      <c r="AF1" s="157"/>
      <c r="AG1" s="157"/>
      <c r="AH1" s="157"/>
      <c r="AI1" s="157"/>
      <c r="AJ1" s="157" t="s">
        <v>29</v>
      </c>
      <c r="AK1" s="157"/>
      <c r="AL1" s="157"/>
      <c r="AM1" s="157"/>
      <c r="AN1" s="157"/>
      <c r="AO1" s="157"/>
      <c r="AP1" s="157"/>
      <c r="AQ1" s="161" t="s">
        <v>17</v>
      </c>
      <c r="AS1" s="164" t="s">
        <v>176</v>
      </c>
      <c r="AT1" s="164" t="s">
        <v>216</v>
      </c>
      <c r="AU1" s="164"/>
      <c r="AV1" s="164"/>
      <c r="AW1" s="164"/>
      <c r="AX1" s="164"/>
      <c r="AY1" s="164" t="s">
        <v>223</v>
      </c>
      <c r="AZ1" s="164"/>
      <c r="BA1" s="164"/>
    </row>
    <row r="2" spans="1:73" s="16" customFormat="1" ht="40" customHeight="1" x14ac:dyDescent="0.15">
      <c r="A2" s="80" t="s">
        <v>176</v>
      </c>
      <c r="B2" s="81">
        <v>1</v>
      </c>
      <c r="C2" s="82">
        <v>1</v>
      </c>
      <c r="D2" s="77" t="s">
        <v>9</v>
      </c>
      <c r="E2" s="78" t="s">
        <v>18</v>
      </c>
      <c r="F2" s="78" t="s">
        <v>19</v>
      </c>
      <c r="G2" s="78" t="s">
        <v>20</v>
      </c>
      <c r="H2" s="157"/>
      <c r="I2" s="157"/>
      <c r="J2" s="157"/>
      <c r="K2" s="157"/>
      <c r="L2" s="157"/>
      <c r="M2" s="163"/>
      <c r="N2" s="79" t="s">
        <v>28</v>
      </c>
      <c r="O2" s="79" t="s">
        <v>42</v>
      </c>
      <c r="P2" s="83" t="s">
        <v>21</v>
      </c>
      <c r="Q2" s="83" t="s">
        <v>193</v>
      </c>
      <c r="R2" s="83" t="s">
        <v>194</v>
      </c>
      <c r="S2" s="83" t="s">
        <v>195</v>
      </c>
      <c r="T2" s="79" t="s">
        <v>179</v>
      </c>
      <c r="U2" s="83" t="s">
        <v>22</v>
      </c>
      <c r="V2" s="79" t="s">
        <v>180</v>
      </c>
      <c r="W2" s="83" t="s">
        <v>23</v>
      </c>
      <c r="X2" s="157"/>
      <c r="Y2" s="157"/>
      <c r="Z2" s="84">
        <v>2023</v>
      </c>
      <c r="AA2" s="84">
        <v>2024</v>
      </c>
      <c r="AB2" s="84">
        <v>2025</v>
      </c>
      <c r="AC2" s="157" t="s">
        <v>12</v>
      </c>
      <c r="AD2" s="157"/>
      <c r="AE2" s="85" t="s">
        <v>189</v>
      </c>
      <c r="AF2" s="85" t="s">
        <v>293</v>
      </c>
      <c r="AG2" s="85" t="s">
        <v>415</v>
      </c>
      <c r="AH2" s="157" t="s">
        <v>12</v>
      </c>
      <c r="AI2" s="157"/>
      <c r="AJ2" s="87" t="s">
        <v>298</v>
      </c>
      <c r="AK2" s="86" t="s">
        <v>367</v>
      </c>
      <c r="AL2" s="86"/>
      <c r="AM2" s="86"/>
      <c r="AN2" s="87"/>
      <c r="AO2" s="157" t="s">
        <v>12</v>
      </c>
      <c r="AP2" s="157"/>
      <c r="AQ2" s="161"/>
      <c r="AS2" s="164"/>
      <c r="AT2" s="8" t="s">
        <v>207</v>
      </c>
      <c r="AU2" s="8" t="s">
        <v>192</v>
      </c>
      <c r="AV2" s="115" t="s">
        <v>214</v>
      </c>
      <c r="AW2" s="8" t="s">
        <v>215</v>
      </c>
      <c r="AX2" s="8" t="s">
        <v>208</v>
      </c>
      <c r="AY2" s="115" t="s">
        <v>214</v>
      </c>
      <c r="AZ2" s="8" t="s">
        <v>215</v>
      </c>
      <c r="BA2" s="8" t="s">
        <v>208</v>
      </c>
    </row>
    <row r="3" spans="1:73" s="33" customFormat="1" ht="60" customHeight="1" x14ac:dyDescent="0.15">
      <c r="A3" s="17" t="s">
        <v>102</v>
      </c>
      <c r="B3" s="18">
        <f>(C3*7)/100+C3</f>
        <v>1294700</v>
      </c>
      <c r="C3" s="19">
        <f>_xlfn.XLOOKUP(A3,'Target ปี 2026'!B:B,'Target ปี 2026'!C:C,0,0)</f>
        <v>1210000</v>
      </c>
      <c r="D3" s="19">
        <f t="shared" ref="D3:D9" si="0">C3/30</f>
        <v>40333.333333333336</v>
      </c>
      <c r="E3" s="119">
        <f>_xlfn.XLOOKUP(A3,ยอดขายปัจจุบัน!B:B,ยอดขายปัจจุบัน!D:D,0,0)</f>
        <v>505586.5</v>
      </c>
      <c r="F3" s="119">
        <f t="shared" ref="F3:F9" si="1">E3*100/107</f>
        <v>472510.74766355142</v>
      </c>
      <c r="G3" s="119">
        <f>_xlfn.XLOOKUP(A3,ยอดขายปัจจุบัน!B:B,ยอดขายปัจจุบัน!C:C,0,0)</f>
        <v>930</v>
      </c>
      <c r="H3" s="120">
        <f t="shared" ref="H3:H9" si="2">E3/G3</f>
        <v>543.64139784946235</v>
      </c>
      <c r="I3" s="20">
        <v>450</v>
      </c>
      <c r="J3" s="21">
        <f t="shared" ref="J3:J9" si="3">(H3-I3)/H3</f>
        <v>0.17224846786850517</v>
      </c>
      <c r="K3" s="22">
        <f t="shared" ref="K3:K9" si="4">(E3-C3)/$E$35</f>
        <v>-37074.394736842107</v>
      </c>
      <c r="L3" s="71">
        <f t="shared" ref="L3:L18" si="5">F3/C3</f>
        <v>0.39050475013516645</v>
      </c>
      <c r="M3" s="67"/>
      <c r="N3" s="24">
        <f t="shared" ref="N3:N9" si="6">C3-F3</f>
        <v>737489.25233644852</v>
      </c>
      <c r="O3" s="23">
        <f t="shared" ref="O3:O9" si="7">N3/$E$35</f>
        <v>38815.223807181501</v>
      </c>
      <c r="P3" s="24">
        <f t="shared" ref="P3:P9" si="8">SUM(N3/$E$35)</f>
        <v>38815.223807181501</v>
      </c>
      <c r="Q3" s="24">
        <f t="shared" ref="Q3:Q9" si="9">E3/$D$35</f>
        <v>42132.208333333336</v>
      </c>
      <c r="R3" s="24">
        <f>Q3*22</f>
        <v>926908.58333333337</v>
      </c>
      <c r="S3" s="25">
        <f>R3/C3</f>
        <v>0.76604015151515159</v>
      </c>
      <c r="T3" s="26">
        <f t="shared" ref="T3:T9" si="10">(C3-F3)*110%</f>
        <v>811238.17757009342</v>
      </c>
      <c r="U3" s="27">
        <f t="shared" ref="U3:U9" si="11">T3/$E$35</f>
        <v>42696.746187899655</v>
      </c>
      <c r="V3" s="27">
        <f t="shared" ref="V3:V9" si="12">(C3-F3)*120%</f>
        <v>884987.10280373821</v>
      </c>
      <c r="W3" s="27">
        <f t="shared" ref="W3:W9" si="13">SUM(V3/$E$35)</f>
        <v>46578.268568617801</v>
      </c>
      <c r="X3" s="28">
        <f t="shared" ref="X3:X9" si="14">E3/$E$20</f>
        <v>6.5332187424065533E-2</v>
      </c>
      <c r="Y3" s="28" t="e">
        <f t="shared" ref="Y3:Y9" si="15">E3/$H$35</f>
        <v>#DIV/0!</v>
      </c>
      <c r="Z3" s="29">
        <f>_xlfn.XLOOKUP(A3,ยอดขายปีที่แล้ว!B:B,ยอดขายปีที่แล้ว!D:D,0,0)</f>
        <v>488435</v>
      </c>
      <c r="AA3" s="30">
        <f t="shared" ref="AA3:AA9" si="16">Z3*100/107</f>
        <v>456481.30841121497</v>
      </c>
      <c r="AB3" s="119">
        <f t="shared" ref="AB3:AB9" si="17">F3</f>
        <v>472510.74766355142</v>
      </c>
      <c r="AC3" s="34">
        <f t="shared" ref="AC3:AC9" si="18">AB3-AA3</f>
        <v>16029.439252336451</v>
      </c>
      <c r="AD3" s="72">
        <f t="shared" ref="AD3:AD9" si="19">(AB3-AA3)/AA3</f>
        <v>3.511521492112564E-2</v>
      </c>
      <c r="AE3" s="29">
        <f>_xlfn.XLOOKUP(A3,ยอดขายเดือนที่เแล้ว!B:B,ยอดขายเดือนที่เแล้ว!D:D,0,0)</f>
        <v>429198</v>
      </c>
      <c r="AF3" s="26">
        <f t="shared" ref="AF3:AF9" si="20">AE3*100/107</f>
        <v>401119.62616822432</v>
      </c>
      <c r="AG3" s="119">
        <f t="shared" ref="AG3:AG9" si="21">F3</f>
        <v>472510.74766355142</v>
      </c>
      <c r="AH3" s="114">
        <f>AG3-AF3</f>
        <v>71391.121495327097</v>
      </c>
      <c r="AI3" s="155">
        <f>(AG3-AF3)/AF3</f>
        <v>0.17797962711848608</v>
      </c>
      <c r="AJ3" s="30">
        <v>236620</v>
      </c>
      <c r="AK3" s="119">
        <v>265632</v>
      </c>
      <c r="AL3" s="30"/>
      <c r="AM3" s="111"/>
      <c r="AN3" s="116"/>
      <c r="AO3" s="117">
        <f>AK3-AJ3</f>
        <v>29012</v>
      </c>
      <c r="AP3" s="118">
        <f>(AK3-AJ3)/AJ3</f>
        <v>0.1226100921308427</v>
      </c>
      <c r="AQ3" s="31"/>
      <c r="AR3" s="32"/>
      <c r="AS3" s="9" t="str">
        <f t="shared" ref="AS3:AS9" si="22">A3</f>
        <v>Yuedpao สาขา Mega บางนา</v>
      </c>
      <c r="AT3" s="10">
        <f t="shared" ref="AT3:AT9" si="23">C3</f>
        <v>1210000</v>
      </c>
      <c r="AU3" s="10">
        <f t="shared" ref="AU3:AU9" si="24">F3</f>
        <v>472510.74766355142</v>
      </c>
      <c r="AV3" s="11">
        <f t="shared" ref="AV3:AV9" si="25">AU3/$D$35</f>
        <v>39375.895638629285</v>
      </c>
      <c r="AW3" s="12">
        <f t="shared" ref="AW3:AW9" si="26">(AV3*$E$35)+AU3</f>
        <v>1220652.7647975078</v>
      </c>
      <c r="AX3" s="68">
        <f t="shared" ref="AX3:AX9" si="27">AW3/AT3</f>
        <v>1.00880393784918</v>
      </c>
      <c r="AY3" s="88">
        <f t="shared" ref="AY3:AY18" si="28">(AV3*50%)+AV3</f>
        <v>59063.843457943927</v>
      </c>
      <c r="AZ3" s="89">
        <f t="shared" ref="AZ3:AZ9" si="29">(AY3*$E$35)+AU3</f>
        <v>1594723.7733644862</v>
      </c>
      <c r="BA3" s="68">
        <f t="shared" ref="BA3:BA19" si="30">AZ3/AT3</f>
        <v>1.317953531706187</v>
      </c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</row>
    <row r="4" spans="1:73" s="33" customFormat="1" ht="60" customHeight="1" x14ac:dyDescent="0.15">
      <c r="A4" s="17" t="s">
        <v>108</v>
      </c>
      <c r="B4" s="18">
        <f>(C4*7)/100+C4</f>
        <v>1177000</v>
      </c>
      <c r="C4" s="19">
        <f>_xlfn.XLOOKUP(A4,'Target ปี 2026'!B:B,'Target ปี 2026'!C:C,0,0)</f>
        <v>1100000</v>
      </c>
      <c r="D4" s="19">
        <f t="shared" si="0"/>
        <v>36666.666666666664</v>
      </c>
      <c r="E4" s="119">
        <f>_xlfn.XLOOKUP(A4,ยอดขายปัจจุบัน!B:B,ยอดขายปัจจุบัน!D:D,0,0)</f>
        <v>506978</v>
      </c>
      <c r="F4" s="119">
        <f t="shared" si="1"/>
        <v>473811.21495327103</v>
      </c>
      <c r="G4" s="119">
        <f>_xlfn.XLOOKUP(A4,ยอดขายปัจจุบัน!B:B,ยอดขายปัจจุบัน!C:C,0,0)</f>
        <v>1044</v>
      </c>
      <c r="H4" s="120">
        <f t="shared" si="2"/>
        <v>485.61111111111109</v>
      </c>
      <c r="I4" s="20">
        <v>450</v>
      </c>
      <c r="J4" s="21">
        <f t="shared" si="3"/>
        <v>7.3332570644091016E-2</v>
      </c>
      <c r="K4" s="22">
        <f t="shared" si="4"/>
        <v>-31211.684210526317</v>
      </c>
      <c r="L4" s="71">
        <f t="shared" si="5"/>
        <v>0.43073746813933728</v>
      </c>
      <c r="M4" s="67"/>
      <c r="N4" s="24">
        <f t="shared" si="6"/>
        <v>626188.78504672903</v>
      </c>
      <c r="O4" s="23">
        <f t="shared" si="7"/>
        <v>32957.304476143632</v>
      </c>
      <c r="P4" s="24">
        <f t="shared" si="8"/>
        <v>32957.304476143632</v>
      </c>
      <c r="Q4" s="24">
        <f t="shared" si="9"/>
        <v>42248.166666666664</v>
      </c>
      <c r="R4" s="24">
        <f>Q4*22</f>
        <v>929459.66666666663</v>
      </c>
      <c r="S4" s="25">
        <f>R4/C4</f>
        <v>0.84496333333333329</v>
      </c>
      <c r="T4" s="26">
        <f t="shared" si="10"/>
        <v>688807.66355140193</v>
      </c>
      <c r="U4" s="27">
        <f t="shared" si="11"/>
        <v>36253.034923757994</v>
      </c>
      <c r="V4" s="27">
        <f t="shared" si="12"/>
        <v>751426.54205607483</v>
      </c>
      <c r="W4" s="27">
        <f t="shared" si="13"/>
        <v>39548.765371372363</v>
      </c>
      <c r="X4" s="28">
        <f t="shared" si="14"/>
        <v>6.5511997879448711E-2</v>
      </c>
      <c r="Y4" s="28" t="e">
        <f t="shared" si="15"/>
        <v>#DIV/0!</v>
      </c>
      <c r="Z4" s="29">
        <f>_xlfn.XLOOKUP(A4,ยอดขายปีที่แล้ว!B:B,ยอดขายปีที่แล้ว!D:D,0,0)</f>
        <v>305077</v>
      </c>
      <c r="AA4" s="30">
        <f t="shared" si="16"/>
        <v>285118.69158878503</v>
      </c>
      <c r="AB4" s="119">
        <f t="shared" si="17"/>
        <v>473811.21495327103</v>
      </c>
      <c r="AC4" s="34">
        <f t="shared" si="18"/>
        <v>188692.523364486</v>
      </c>
      <c r="AD4" s="72">
        <f t="shared" si="19"/>
        <v>0.6618034135644445</v>
      </c>
      <c r="AE4" s="29">
        <f>_xlfn.XLOOKUP(A4,ยอดขายเดือนที่เแล้ว!B:B,ยอดขายเดือนที่เแล้ว!D:D,0,0)</f>
        <v>358158.5</v>
      </c>
      <c r="AF4" s="26">
        <f t="shared" si="20"/>
        <v>334727.57009345794</v>
      </c>
      <c r="AG4" s="119">
        <f t="shared" si="21"/>
        <v>473811.21495327103</v>
      </c>
      <c r="AH4" s="114">
        <f t="shared" ref="AH4:AH19" si="31">AG4-AF4</f>
        <v>139083.6448598131</v>
      </c>
      <c r="AI4" s="155">
        <f t="shared" ref="AI4:AI20" si="32">(AG4-AF4)/AF4</f>
        <v>0.41551296423231621</v>
      </c>
      <c r="AJ4" s="30">
        <v>258956</v>
      </c>
      <c r="AK4" s="119">
        <v>253022</v>
      </c>
      <c r="AL4" s="30"/>
      <c r="AM4" s="111"/>
      <c r="AN4" s="116"/>
      <c r="AO4" s="107">
        <f t="shared" ref="AO4:AO20" si="33">AK4-AJ4</f>
        <v>-5934</v>
      </c>
      <c r="AP4" s="98">
        <f t="shared" ref="AP4:AP20" si="34">(AK4-AJ4)/AJ4</f>
        <v>-2.2915089822209179E-2</v>
      </c>
      <c r="AQ4" s="31"/>
      <c r="AR4" s="32"/>
      <c r="AS4" s="9" t="str">
        <f t="shared" si="22"/>
        <v>Yuedpao สาขา The Mall โคราช</v>
      </c>
      <c r="AT4" s="10">
        <f t="shared" si="23"/>
        <v>1100000</v>
      </c>
      <c r="AU4" s="10">
        <f t="shared" si="24"/>
        <v>473811.21495327103</v>
      </c>
      <c r="AV4" s="11">
        <f t="shared" si="25"/>
        <v>39484.267912772586</v>
      </c>
      <c r="AW4" s="12">
        <f t="shared" si="26"/>
        <v>1224012.3052959503</v>
      </c>
      <c r="AX4" s="68">
        <f t="shared" si="27"/>
        <v>1.1127384593599547</v>
      </c>
      <c r="AY4" s="88">
        <f t="shared" si="28"/>
        <v>59226.401869158879</v>
      </c>
      <c r="AZ4" s="89">
        <f t="shared" si="29"/>
        <v>1599112.8504672896</v>
      </c>
      <c r="BA4" s="68">
        <f t="shared" si="30"/>
        <v>1.4537389549702633</v>
      </c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</row>
    <row r="5" spans="1:73" s="33" customFormat="1" ht="60" customHeight="1" x14ac:dyDescent="0.15">
      <c r="A5" s="17" t="s">
        <v>1</v>
      </c>
      <c r="B5" s="18">
        <f t="shared" ref="B5:B9" si="35">(C5*7)/100+C5</f>
        <v>1177000</v>
      </c>
      <c r="C5" s="19">
        <f>_xlfn.XLOOKUP(A5,'Target ปี 2026'!B:B,'Target ปี 2026'!C:C,0,0)</f>
        <v>1100000</v>
      </c>
      <c r="D5" s="19">
        <f t="shared" si="0"/>
        <v>36666.666666666664</v>
      </c>
      <c r="E5" s="119">
        <f>_xlfn.XLOOKUP(A5,ยอดขายปัจจุบัน!B:B,ยอดขายปัจจุบัน!D:D,0,0)</f>
        <v>512683.7</v>
      </c>
      <c r="F5" s="119">
        <f t="shared" si="1"/>
        <v>479143.6448598131</v>
      </c>
      <c r="G5" s="119">
        <f>_xlfn.XLOOKUP(A5,ยอดขายปัจจุบัน!B:B,ยอดขายปัจจุบัน!C:C,0,0)</f>
        <v>985</v>
      </c>
      <c r="H5" s="120">
        <f t="shared" si="2"/>
        <v>520.4910659898477</v>
      </c>
      <c r="I5" s="20">
        <v>450</v>
      </c>
      <c r="J5" s="21">
        <f t="shared" si="3"/>
        <v>0.13543184618508447</v>
      </c>
      <c r="K5" s="22">
        <f t="shared" si="4"/>
        <v>-30911.384210526317</v>
      </c>
      <c r="L5" s="71">
        <f t="shared" si="5"/>
        <v>0.4355851316907392</v>
      </c>
      <c r="M5" s="67"/>
      <c r="N5" s="24">
        <f t="shared" si="6"/>
        <v>620856.35514018685</v>
      </c>
      <c r="O5" s="23">
        <f t="shared" si="7"/>
        <v>32676.650270536149</v>
      </c>
      <c r="P5" s="24">
        <f t="shared" si="8"/>
        <v>32676.650270536149</v>
      </c>
      <c r="Q5" s="24">
        <f t="shared" si="9"/>
        <v>42723.64166666667</v>
      </c>
      <c r="R5" s="24">
        <f t="shared" ref="R5:R9" si="36">Q5*22</f>
        <v>939920.1166666667</v>
      </c>
      <c r="S5" s="25">
        <f t="shared" ref="S5:S9" si="37">R5/C5</f>
        <v>0.85447283333333335</v>
      </c>
      <c r="T5" s="26">
        <f t="shared" si="10"/>
        <v>682941.99065420555</v>
      </c>
      <c r="U5" s="27">
        <f t="shared" si="11"/>
        <v>35944.315297589768</v>
      </c>
      <c r="V5" s="27">
        <f t="shared" si="12"/>
        <v>745027.62616822415</v>
      </c>
      <c r="W5" s="27">
        <f t="shared" si="13"/>
        <v>39211.980324643373</v>
      </c>
      <c r="X5" s="28">
        <f t="shared" si="14"/>
        <v>6.6249291817845987E-2</v>
      </c>
      <c r="Y5" s="28" t="e">
        <f t="shared" si="15"/>
        <v>#DIV/0!</v>
      </c>
      <c r="Z5" s="29">
        <f>_xlfn.XLOOKUP(A5,ยอดขายปีที่แล้ว!B:B,ยอดขายปีที่แล้ว!D:D,0,0)</f>
        <v>422991.2</v>
      </c>
      <c r="AA5" s="30">
        <f t="shared" si="16"/>
        <v>395318.8785046729</v>
      </c>
      <c r="AB5" s="119">
        <f t="shared" si="17"/>
        <v>479143.6448598131</v>
      </c>
      <c r="AC5" s="34">
        <f t="shared" ref="AC5:AC6" si="38">AB5-AA5</f>
        <v>83824.766355140193</v>
      </c>
      <c r="AD5" s="72">
        <f t="shared" ref="AD5:AD6" si="39">(AB5-AA5)/AA5</f>
        <v>0.21204341839735674</v>
      </c>
      <c r="AE5" s="29">
        <f>_xlfn.XLOOKUP(A5,ยอดขายเดือนที่เแล้ว!B:B,ยอดขายเดือนที่เแล้ว!D:D,0,0)</f>
        <v>434835</v>
      </c>
      <c r="AF5" s="26">
        <f t="shared" si="20"/>
        <v>406387.85046728974</v>
      </c>
      <c r="AG5" s="119">
        <f t="shared" si="21"/>
        <v>479143.6448598131</v>
      </c>
      <c r="AH5" s="114">
        <f t="shared" si="31"/>
        <v>72755.794392523356</v>
      </c>
      <c r="AI5" s="155">
        <f t="shared" si="32"/>
        <v>0.17903043683236167</v>
      </c>
      <c r="AJ5" s="30">
        <v>249517.5</v>
      </c>
      <c r="AK5" s="119">
        <v>282015.5</v>
      </c>
      <c r="AL5" s="30"/>
      <c r="AM5" s="111"/>
      <c r="AN5" s="116"/>
      <c r="AO5" s="117">
        <f t="shared" si="33"/>
        <v>32498</v>
      </c>
      <c r="AP5" s="118">
        <f t="shared" si="34"/>
        <v>0.13024336970352782</v>
      </c>
      <c r="AQ5" s="31"/>
      <c r="AR5" s="32"/>
      <c r="AS5" s="9" t="str">
        <f t="shared" si="22"/>
        <v>Yuedpao สาขา SIAM SQUARE</v>
      </c>
      <c r="AT5" s="10">
        <f t="shared" si="23"/>
        <v>1100000</v>
      </c>
      <c r="AU5" s="10">
        <f t="shared" si="24"/>
        <v>479143.6448598131</v>
      </c>
      <c r="AV5" s="11">
        <f t="shared" si="25"/>
        <v>39928.637071651094</v>
      </c>
      <c r="AW5" s="12">
        <f t="shared" si="26"/>
        <v>1237787.7492211838</v>
      </c>
      <c r="AX5" s="68">
        <f t="shared" si="27"/>
        <v>1.1252615902010763</v>
      </c>
      <c r="AY5" s="88">
        <f t="shared" si="28"/>
        <v>59892.955607476644</v>
      </c>
      <c r="AZ5" s="89">
        <f t="shared" si="29"/>
        <v>1617109.8014018694</v>
      </c>
      <c r="BA5" s="68">
        <f t="shared" si="30"/>
        <v>1.4700998194562449</v>
      </c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</row>
    <row r="6" spans="1:73" s="33" customFormat="1" ht="60" customHeight="1" x14ac:dyDescent="0.15">
      <c r="A6" s="17" t="s">
        <v>77</v>
      </c>
      <c r="B6" s="18">
        <f t="shared" si="35"/>
        <v>1765500</v>
      </c>
      <c r="C6" s="19">
        <f>_xlfn.XLOOKUP(A6,'Target ปี 2026'!B:B,'Target ปี 2026'!C:C,0,0)</f>
        <v>1650000</v>
      </c>
      <c r="D6" s="19">
        <f t="shared" si="0"/>
        <v>55000</v>
      </c>
      <c r="E6" s="119">
        <f>_xlfn.XLOOKUP(A6,ยอดขายปัจจุบัน!B:B,ยอดขายปัจจุบัน!D:D,0,0)</f>
        <v>679423</v>
      </c>
      <c r="F6" s="119">
        <f t="shared" si="1"/>
        <v>634974.76635514013</v>
      </c>
      <c r="G6" s="119">
        <f>_xlfn.XLOOKUP(A6,ยอดขายปัจจุบัน!B:B,ยอดขายปัจจุบัน!C:C,0,0)</f>
        <v>1298</v>
      </c>
      <c r="H6" s="120">
        <f t="shared" si="2"/>
        <v>523.43836671802774</v>
      </c>
      <c r="I6" s="20">
        <v>450</v>
      </c>
      <c r="J6" s="35">
        <f t="shared" si="3"/>
        <v>0.14029993097083848</v>
      </c>
      <c r="K6" s="22">
        <f t="shared" si="4"/>
        <v>-51083</v>
      </c>
      <c r="L6" s="71">
        <f t="shared" si="5"/>
        <v>0.38483319173038794</v>
      </c>
      <c r="M6" s="67"/>
      <c r="N6" s="24">
        <f t="shared" si="6"/>
        <v>1015025.2336448599</v>
      </c>
      <c r="O6" s="23">
        <f t="shared" si="7"/>
        <v>53422.380718150518</v>
      </c>
      <c r="P6" s="24">
        <f t="shared" si="8"/>
        <v>53422.380718150518</v>
      </c>
      <c r="Q6" s="24">
        <f t="shared" si="9"/>
        <v>56618.583333333336</v>
      </c>
      <c r="R6" s="24">
        <f t="shared" si="36"/>
        <v>1245608.8333333335</v>
      </c>
      <c r="S6" s="25">
        <f t="shared" si="37"/>
        <v>0.75491444444444455</v>
      </c>
      <c r="T6" s="26">
        <f t="shared" si="10"/>
        <v>1116527.757009346</v>
      </c>
      <c r="U6" s="27">
        <f t="shared" si="11"/>
        <v>58764.618789965578</v>
      </c>
      <c r="V6" s="27">
        <f t="shared" si="12"/>
        <v>1218030.2803738317</v>
      </c>
      <c r="W6" s="27">
        <f t="shared" si="13"/>
        <v>64106.856861780616</v>
      </c>
      <c r="X6" s="28">
        <f t="shared" si="14"/>
        <v>8.7795443067053572E-2</v>
      </c>
      <c r="Y6" s="28" t="e">
        <f t="shared" si="15"/>
        <v>#DIV/0!</v>
      </c>
      <c r="Z6" s="29">
        <f>_xlfn.XLOOKUP(A6,ยอดขายปีที่แล้ว!B:B,ยอดขายปีที่แล้ว!D:D,0,0)</f>
        <v>520592</v>
      </c>
      <c r="AA6" s="30">
        <f t="shared" si="16"/>
        <v>486534.57943925232</v>
      </c>
      <c r="AB6" s="119">
        <f t="shared" si="17"/>
        <v>634974.76635514013</v>
      </c>
      <c r="AC6" s="34">
        <f t="shared" si="38"/>
        <v>148440.18691588781</v>
      </c>
      <c r="AD6" s="72">
        <f t="shared" si="39"/>
        <v>0.30509688969480891</v>
      </c>
      <c r="AE6" s="29">
        <f>_xlfn.XLOOKUP(A6,ยอดขายเดือนที่เแล้ว!B:B,ยอดขายเดือนที่เแล้ว!D:D,0,0)</f>
        <v>585231</v>
      </c>
      <c r="AF6" s="30">
        <f t="shared" si="20"/>
        <v>546944.85981308413</v>
      </c>
      <c r="AG6" s="119">
        <f t="shared" si="21"/>
        <v>634974.76635514013</v>
      </c>
      <c r="AH6" s="114">
        <f t="shared" si="31"/>
        <v>88029.906542056007</v>
      </c>
      <c r="AI6" s="155">
        <f t="shared" si="32"/>
        <v>0.16094841182370709</v>
      </c>
      <c r="AJ6" s="30">
        <v>344415.18</v>
      </c>
      <c r="AK6" s="119">
        <v>372682</v>
      </c>
      <c r="AL6" s="30"/>
      <c r="AM6" s="111"/>
      <c r="AN6" s="116"/>
      <c r="AO6" s="117">
        <f t="shared" si="33"/>
        <v>28266.820000000007</v>
      </c>
      <c r="AP6" s="118">
        <f t="shared" si="34"/>
        <v>8.2071934227753857E-2</v>
      </c>
      <c r="AQ6" s="31"/>
      <c r="AR6" s="32"/>
      <c r="AS6" s="9" t="str">
        <f t="shared" si="22"/>
        <v>Yuedpao สาขา Central ระยอง</v>
      </c>
      <c r="AT6" s="10">
        <f t="shared" si="23"/>
        <v>1650000</v>
      </c>
      <c r="AU6" s="10">
        <f t="shared" si="24"/>
        <v>634974.76635514013</v>
      </c>
      <c r="AV6" s="11">
        <f t="shared" si="25"/>
        <v>52914.563862928342</v>
      </c>
      <c r="AW6" s="12">
        <f t="shared" si="26"/>
        <v>1640351.4797507785</v>
      </c>
      <c r="AX6" s="68">
        <f t="shared" si="27"/>
        <v>0.99415241197016879</v>
      </c>
      <c r="AY6" s="88">
        <f t="shared" si="28"/>
        <v>79371.845794392517</v>
      </c>
      <c r="AZ6" s="89">
        <f t="shared" si="29"/>
        <v>2143039.8364485977</v>
      </c>
      <c r="BA6" s="68">
        <f t="shared" si="30"/>
        <v>1.2988120220900592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</row>
    <row r="7" spans="1:73" s="33" customFormat="1" ht="60" customHeight="1" x14ac:dyDescent="0.15">
      <c r="A7" s="17" t="s">
        <v>128</v>
      </c>
      <c r="B7" s="18">
        <f t="shared" si="35"/>
        <v>765050</v>
      </c>
      <c r="C7" s="19">
        <f>_xlfn.XLOOKUP(A7,'Target ปี 2026'!B:B,'Target ปี 2026'!C:C,0,0)</f>
        <v>715000</v>
      </c>
      <c r="D7" s="19">
        <f t="shared" si="0"/>
        <v>23833.333333333332</v>
      </c>
      <c r="E7" s="119">
        <f>_xlfn.XLOOKUP(A7,ยอดขายปัจจุบัน!B:B,ยอดขายปัจจุบัน!D:D,0,0)</f>
        <v>293642</v>
      </c>
      <c r="F7" s="119">
        <f t="shared" si="1"/>
        <v>274431.77570093458</v>
      </c>
      <c r="G7" s="119">
        <f>_xlfn.XLOOKUP(A7,ยอดขายปัจจุบัน!B:B,ยอดขายปัจจุบัน!C:C,0,0)</f>
        <v>668</v>
      </c>
      <c r="H7" s="120">
        <f t="shared" si="2"/>
        <v>439.58383233532936</v>
      </c>
      <c r="I7" s="20">
        <v>450</v>
      </c>
      <c r="J7" s="21">
        <f t="shared" si="3"/>
        <v>-2.3695520395583692E-2</v>
      </c>
      <c r="K7" s="22">
        <f t="shared" si="4"/>
        <v>-22176.736842105263</v>
      </c>
      <c r="L7" s="71">
        <f t="shared" si="5"/>
        <v>0.3838206653159924</v>
      </c>
      <c r="M7" s="67"/>
      <c r="N7" s="24">
        <f t="shared" si="6"/>
        <v>440568.22429906542</v>
      </c>
      <c r="O7" s="23">
        <f t="shared" si="7"/>
        <v>23187.80127889818</v>
      </c>
      <c r="P7" s="24">
        <f t="shared" si="8"/>
        <v>23187.80127889818</v>
      </c>
      <c r="Q7" s="24">
        <f t="shared" si="9"/>
        <v>24470.166666666668</v>
      </c>
      <c r="R7" s="24">
        <f t="shared" si="36"/>
        <v>538343.66666666674</v>
      </c>
      <c r="S7" s="25">
        <f t="shared" si="37"/>
        <v>0.75292820512820524</v>
      </c>
      <c r="T7" s="26">
        <f t="shared" si="10"/>
        <v>484625.046728972</v>
      </c>
      <c r="U7" s="27">
        <f t="shared" si="11"/>
        <v>25506.581406787998</v>
      </c>
      <c r="V7" s="27">
        <f t="shared" si="12"/>
        <v>528681.86915887846</v>
      </c>
      <c r="W7" s="27">
        <f t="shared" si="13"/>
        <v>27825.361534677813</v>
      </c>
      <c r="X7" s="28">
        <f t="shared" si="14"/>
        <v>3.7944593416907792E-2</v>
      </c>
      <c r="Y7" s="28" t="e">
        <f t="shared" si="15"/>
        <v>#DIV/0!</v>
      </c>
      <c r="Z7" s="29">
        <f>_xlfn.XLOOKUP(A7,ยอดขายปีที่แล้ว!B:B,ยอดขายปีที่แล้ว!D:D,0,0)</f>
        <v>182474</v>
      </c>
      <c r="AA7" s="30">
        <f t="shared" si="16"/>
        <v>170536.44859813084</v>
      </c>
      <c r="AB7" s="119">
        <f t="shared" si="17"/>
        <v>274431.77570093458</v>
      </c>
      <c r="AC7" s="34">
        <f t="shared" si="18"/>
        <v>103895.32710280374</v>
      </c>
      <c r="AD7" s="72">
        <f t="shared" si="19"/>
        <v>0.60922651994256716</v>
      </c>
      <c r="AE7" s="29">
        <f>_xlfn.XLOOKUP(A7,ยอดขายเดือนที่เแล้ว!B:B,ยอดขายเดือนที่เแล้ว!D:D,0,0)</f>
        <v>263241</v>
      </c>
      <c r="AF7" s="26">
        <f t="shared" si="20"/>
        <v>246019.62616822429</v>
      </c>
      <c r="AG7" s="119">
        <f t="shared" si="21"/>
        <v>274431.77570093458</v>
      </c>
      <c r="AH7" s="114">
        <f t="shared" si="31"/>
        <v>28412.149532710289</v>
      </c>
      <c r="AI7" s="155">
        <f t="shared" si="32"/>
        <v>0.11548732910146979</v>
      </c>
      <c r="AJ7" s="30">
        <v>156645</v>
      </c>
      <c r="AK7" s="119">
        <v>162014</v>
      </c>
      <c r="AL7" s="30"/>
      <c r="AM7" s="111"/>
      <c r="AN7" s="116"/>
      <c r="AO7" s="117">
        <f t="shared" si="33"/>
        <v>5369</v>
      </c>
      <c r="AP7" s="118">
        <f t="shared" si="34"/>
        <v>3.4274952919020718E-2</v>
      </c>
      <c r="AQ7" s="31"/>
      <c r="AR7" s="32"/>
      <c r="AS7" s="9" t="str">
        <f t="shared" si="22"/>
        <v>Yuedpao สาขา Central โคราช</v>
      </c>
      <c r="AT7" s="10">
        <f t="shared" si="23"/>
        <v>715000</v>
      </c>
      <c r="AU7" s="10">
        <f t="shared" si="24"/>
        <v>274431.77570093458</v>
      </c>
      <c r="AV7" s="11">
        <f t="shared" si="25"/>
        <v>22869.31464174455</v>
      </c>
      <c r="AW7" s="12">
        <f t="shared" si="26"/>
        <v>708948.75389408111</v>
      </c>
      <c r="AX7" s="68">
        <f t="shared" si="27"/>
        <v>0.99153671873298055</v>
      </c>
      <c r="AY7" s="88">
        <f t="shared" si="28"/>
        <v>34303.971962616823</v>
      </c>
      <c r="AZ7" s="89">
        <f t="shared" si="29"/>
        <v>926207.24299065419</v>
      </c>
      <c r="BA7" s="68">
        <f t="shared" si="30"/>
        <v>1.2953947454414745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</row>
    <row r="8" spans="1:73" s="33" customFormat="1" ht="60" customHeight="1" x14ac:dyDescent="0.15">
      <c r="A8" s="17" t="s">
        <v>165</v>
      </c>
      <c r="B8" s="18">
        <f t="shared" si="35"/>
        <v>823900</v>
      </c>
      <c r="C8" s="19">
        <f>_xlfn.XLOOKUP(A8,'Target ปี 2026'!B:B,'Target ปี 2026'!C:C,0,0)</f>
        <v>770000</v>
      </c>
      <c r="D8" s="19">
        <f t="shared" si="0"/>
        <v>25666.666666666668</v>
      </c>
      <c r="E8" s="119">
        <f>_xlfn.XLOOKUP(A8,ยอดขายปัจจุบัน!B:B,ยอดขายปัจจุบัน!D:D,0,0)</f>
        <v>366269</v>
      </c>
      <c r="F8" s="119">
        <f t="shared" si="1"/>
        <v>342307.476635514</v>
      </c>
      <c r="G8" s="119">
        <f>_xlfn.XLOOKUP(A8,ยอดขายปัจจุบัน!B:B,ยอดขายปัจจุบัน!C:C,0,0)</f>
        <v>749</v>
      </c>
      <c r="H8" s="120">
        <f t="shared" si="2"/>
        <v>489.01068090787714</v>
      </c>
      <c r="I8" s="20">
        <v>330</v>
      </c>
      <c r="J8" s="21">
        <f t="shared" si="3"/>
        <v>0.32516811414561425</v>
      </c>
      <c r="K8" s="22">
        <f t="shared" si="4"/>
        <v>-21249</v>
      </c>
      <c r="L8" s="71">
        <f t="shared" si="5"/>
        <v>0.44455516446170651</v>
      </c>
      <c r="M8" s="67"/>
      <c r="N8" s="24">
        <f t="shared" si="6"/>
        <v>427692.523364486</v>
      </c>
      <c r="O8" s="23">
        <f t="shared" si="7"/>
        <v>22510.132808657159</v>
      </c>
      <c r="P8" s="24">
        <f t="shared" si="8"/>
        <v>22510.132808657159</v>
      </c>
      <c r="Q8" s="24">
        <f t="shared" si="9"/>
        <v>30522.416666666668</v>
      </c>
      <c r="R8" s="24">
        <f t="shared" si="36"/>
        <v>671493.16666666674</v>
      </c>
      <c r="S8" s="25">
        <f t="shared" si="37"/>
        <v>0.87206904761904769</v>
      </c>
      <c r="T8" s="26">
        <f t="shared" si="10"/>
        <v>470461.77570093464</v>
      </c>
      <c r="U8" s="27">
        <f t="shared" si="11"/>
        <v>24761.146089522877</v>
      </c>
      <c r="V8" s="27">
        <f t="shared" si="12"/>
        <v>513231.02803738316</v>
      </c>
      <c r="W8" s="27">
        <f t="shared" si="13"/>
        <v>27012.159370388588</v>
      </c>
      <c r="X8" s="28">
        <f t="shared" si="14"/>
        <v>4.7329497436393295E-2</v>
      </c>
      <c r="Y8" s="28" t="e">
        <f t="shared" si="15"/>
        <v>#DIV/0!</v>
      </c>
      <c r="Z8" s="29">
        <f>_xlfn.XLOOKUP(A8,ยอดขายปีที่แล้ว!B:B,ยอดขายปีที่แล้ว!D:D,0,0)</f>
        <v>215765</v>
      </c>
      <c r="AA8" s="30">
        <f t="shared" si="16"/>
        <v>201649.53271028039</v>
      </c>
      <c r="AB8" s="119">
        <f t="shared" si="17"/>
        <v>342307.476635514</v>
      </c>
      <c r="AC8" s="34">
        <f t="shared" si="18"/>
        <v>140657.94392523362</v>
      </c>
      <c r="AD8" s="72">
        <f t="shared" si="19"/>
        <v>0.69753667184205015</v>
      </c>
      <c r="AE8" s="29">
        <f>_xlfn.XLOOKUP(A8,ยอดขายเดือนที่เแล้ว!B:B,ยอดขายเดือนที่เแล้ว!D:D,0,0)</f>
        <v>264972.5</v>
      </c>
      <c r="AF8" s="26">
        <f t="shared" si="20"/>
        <v>247637.85046728971</v>
      </c>
      <c r="AG8" s="119">
        <f t="shared" si="21"/>
        <v>342307.476635514</v>
      </c>
      <c r="AH8" s="114">
        <f t="shared" si="31"/>
        <v>94669.626168224291</v>
      </c>
      <c r="AI8" s="155">
        <f t="shared" si="32"/>
        <v>0.38229061506382733</v>
      </c>
      <c r="AJ8" s="30">
        <v>151774</v>
      </c>
      <c r="AK8" s="119">
        <v>188491</v>
      </c>
      <c r="AL8" s="30"/>
      <c r="AM8" s="111"/>
      <c r="AN8" s="116"/>
      <c r="AO8" s="117">
        <f t="shared" si="33"/>
        <v>36717</v>
      </c>
      <c r="AP8" s="118">
        <f t="shared" si="34"/>
        <v>0.24191890574143135</v>
      </c>
      <c r="AQ8" s="31"/>
      <c r="AR8" s="32"/>
      <c r="AS8" s="9" t="str">
        <f t="shared" si="22"/>
        <v>Yuedpao สาขา Robinson บุรีรัมย์</v>
      </c>
      <c r="AT8" s="10">
        <f t="shared" si="23"/>
        <v>770000</v>
      </c>
      <c r="AU8" s="10">
        <f t="shared" si="24"/>
        <v>342307.476635514</v>
      </c>
      <c r="AV8" s="11">
        <f t="shared" si="25"/>
        <v>28525.623052959501</v>
      </c>
      <c r="AW8" s="12">
        <f t="shared" si="26"/>
        <v>884294.3146417446</v>
      </c>
      <c r="AX8" s="68">
        <f t="shared" si="27"/>
        <v>1.1484341748594085</v>
      </c>
      <c r="AY8" s="88">
        <f t="shared" si="28"/>
        <v>42788.43457943925</v>
      </c>
      <c r="AZ8" s="89">
        <f t="shared" si="29"/>
        <v>1155287.7336448599</v>
      </c>
      <c r="BA8" s="68">
        <f t="shared" si="30"/>
        <v>1.5003736800582597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</row>
    <row r="9" spans="1:73" s="33" customFormat="1" ht="60" customHeight="1" x14ac:dyDescent="0.15">
      <c r="A9" s="17" t="s">
        <v>187</v>
      </c>
      <c r="B9" s="18">
        <f t="shared" si="35"/>
        <v>1647800</v>
      </c>
      <c r="C9" s="19">
        <f>_xlfn.XLOOKUP(A9,'Target ปี 2026'!B:B,'Target ปี 2026'!C:C,0,0)</f>
        <v>1540000</v>
      </c>
      <c r="D9" s="19">
        <f t="shared" si="0"/>
        <v>51333.333333333336</v>
      </c>
      <c r="E9" s="119">
        <f>_xlfn.XLOOKUP(A9,ยอดขายปัจจุบัน!B:B,ยอดขายปัจจุบัน!D:D,0,0)</f>
        <v>608567</v>
      </c>
      <c r="F9" s="119">
        <f t="shared" si="1"/>
        <v>568754.20560747664</v>
      </c>
      <c r="G9" s="119">
        <f>_xlfn.XLOOKUP(A9,ยอดขายปัจจุบัน!B:B,ยอดขายปัจจุบัน!C:C,0,0)</f>
        <v>1439</v>
      </c>
      <c r="H9" s="120">
        <f t="shared" si="2"/>
        <v>422.90965948575399</v>
      </c>
      <c r="I9" s="20">
        <v>450</v>
      </c>
      <c r="J9" s="35">
        <f t="shared" si="3"/>
        <v>-6.405703891272449E-2</v>
      </c>
      <c r="K9" s="22">
        <f t="shared" si="4"/>
        <v>-49022.789473684214</v>
      </c>
      <c r="L9" s="71">
        <f t="shared" si="5"/>
        <v>0.36932091273212769</v>
      </c>
      <c r="M9" s="67"/>
      <c r="N9" s="24">
        <f t="shared" si="6"/>
        <v>971245.79439252336</v>
      </c>
      <c r="O9" s="23">
        <f t="shared" si="7"/>
        <v>51118.19970486965</v>
      </c>
      <c r="P9" s="24">
        <f t="shared" si="8"/>
        <v>51118.19970486965</v>
      </c>
      <c r="Q9" s="24">
        <f t="shared" si="9"/>
        <v>50713.916666666664</v>
      </c>
      <c r="R9" s="24">
        <f t="shared" si="36"/>
        <v>1115706.1666666665</v>
      </c>
      <c r="S9" s="25">
        <f t="shared" si="37"/>
        <v>0.72448452380952366</v>
      </c>
      <c r="T9" s="26">
        <f t="shared" si="10"/>
        <v>1068370.3738317757</v>
      </c>
      <c r="U9" s="27">
        <f t="shared" si="11"/>
        <v>56230.01967535662</v>
      </c>
      <c r="V9" s="27">
        <f t="shared" si="12"/>
        <v>1165494.9532710279</v>
      </c>
      <c r="W9" s="27">
        <f t="shared" si="13"/>
        <v>61341.839645843575</v>
      </c>
      <c r="X9" s="28">
        <f t="shared" si="14"/>
        <v>7.8639388718055744E-2</v>
      </c>
      <c r="Y9" s="28" t="e">
        <f t="shared" si="15"/>
        <v>#DIV/0!</v>
      </c>
      <c r="Z9" s="29">
        <f>_xlfn.XLOOKUP(A9,ยอดขายปีที่แล้ว!B:B,ยอดขายปีที่แล้ว!D:D,0,0)</f>
        <v>413123</v>
      </c>
      <c r="AA9" s="30">
        <f t="shared" si="16"/>
        <v>386096.26168224297</v>
      </c>
      <c r="AB9" s="119">
        <f t="shared" si="17"/>
        <v>568754.20560747664</v>
      </c>
      <c r="AC9" s="34">
        <f t="shared" si="18"/>
        <v>182657.94392523367</v>
      </c>
      <c r="AD9" s="72">
        <f t="shared" si="19"/>
        <v>0.47308912841938128</v>
      </c>
      <c r="AE9" s="29">
        <f>_xlfn.XLOOKUP(A9,ยอดขายเดือนที่เแล้ว!B:B,ยอดขายเดือนที่เแล้ว!D:D,0,0)</f>
        <v>528753.30000000005</v>
      </c>
      <c r="AF9" s="26">
        <f t="shared" si="20"/>
        <v>494161.96261682251</v>
      </c>
      <c r="AG9" s="119">
        <f t="shared" si="21"/>
        <v>568754.20560747664</v>
      </c>
      <c r="AH9" s="114">
        <f t="shared" si="31"/>
        <v>74592.242990654137</v>
      </c>
      <c r="AI9" s="155">
        <f t="shared" si="32"/>
        <v>0.15094695390080765</v>
      </c>
      <c r="AJ9" s="30">
        <v>320292</v>
      </c>
      <c r="AK9" s="119">
        <v>315293</v>
      </c>
      <c r="AL9" s="30"/>
      <c r="AM9" s="111"/>
      <c r="AN9" s="116"/>
      <c r="AO9" s="107">
        <f t="shared" si="33"/>
        <v>-4999</v>
      </c>
      <c r="AP9" s="98">
        <f t="shared" si="34"/>
        <v>-1.5607633034855694E-2</v>
      </c>
      <c r="AQ9" s="31" t="s">
        <v>224</v>
      </c>
      <c r="AR9" s="32"/>
      <c r="AS9" s="9" t="str">
        <f t="shared" si="22"/>
        <v>Yuedpao สาขา MAYA เชียงใหม่</v>
      </c>
      <c r="AT9" s="10">
        <f t="shared" si="23"/>
        <v>1540000</v>
      </c>
      <c r="AU9" s="10">
        <f t="shared" si="24"/>
        <v>568754.20560747664</v>
      </c>
      <c r="AV9" s="11">
        <f t="shared" si="25"/>
        <v>47396.183800623054</v>
      </c>
      <c r="AW9" s="12">
        <f t="shared" si="26"/>
        <v>1469281.6978193147</v>
      </c>
      <c r="AX9" s="68">
        <f t="shared" si="27"/>
        <v>0.95407902455799654</v>
      </c>
      <c r="AY9" s="88">
        <f t="shared" si="28"/>
        <v>71094.275700934581</v>
      </c>
      <c r="AZ9" s="89">
        <f t="shared" si="29"/>
        <v>1919545.4439252336</v>
      </c>
      <c r="BA9" s="68">
        <f t="shared" si="30"/>
        <v>1.2464580804709309</v>
      </c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</row>
    <row r="10" spans="1:73" s="149" customFormat="1" ht="21" customHeight="1" x14ac:dyDescent="0.15">
      <c r="A10" s="139" t="s">
        <v>209</v>
      </c>
      <c r="B10" s="140"/>
      <c r="C10" s="141"/>
      <c r="D10" s="141"/>
      <c r="E10" s="141"/>
      <c r="F10" s="141"/>
      <c r="G10" s="141"/>
      <c r="H10" s="142"/>
      <c r="I10" s="143"/>
      <c r="J10" s="144"/>
      <c r="K10" s="144"/>
      <c r="L10" s="144"/>
      <c r="M10" s="144"/>
      <c r="N10" s="145"/>
      <c r="O10" s="141"/>
      <c r="P10" s="145"/>
      <c r="Q10" s="145"/>
      <c r="R10" s="145"/>
      <c r="S10" s="146"/>
      <c r="T10" s="141"/>
      <c r="U10" s="147"/>
      <c r="V10" s="147"/>
      <c r="W10" s="147"/>
      <c r="X10" s="146"/>
      <c r="Y10" s="146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8"/>
      <c r="AS10" s="150" t="s">
        <v>209</v>
      </c>
      <c r="AT10" s="151"/>
      <c r="AU10" s="151"/>
      <c r="AV10" s="152"/>
      <c r="AW10" s="153"/>
      <c r="AX10" s="153"/>
      <c r="AY10" s="154"/>
      <c r="AZ10" s="154"/>
      <c r="BA10" s="154"/>
    </row>
    <row r="11" spans="1:73" s="33" customFormat="1" ht="60" customHeight="1" x14ac:dyDescent="0.15">
      <c r="A11" s="17" t="s">
        <v>49</v>
      </c>
      <c r="B11" s="18">
        <f>(C11*7)/100+C11</f>
        <v>2824800</v>
      </c>
      <c r="C11" s="19">
        <f>_xlfn.XLOOKUP(A11,'Target ปี 2026'!B:B,'Target ปี 2026'!C:C,0,0)</f>
        <v>2640000</v>
      </c>
      <c r="D11" s="19">
        <f t="shared" ref="D11:D15" si="40">C11/30</f>
        <v>88000</v>
      </c>
      <c r="E11" s="119">
        <f>_xlfn.XLOOKUP(A11,ยอดขายปัจจุบัน!B:B,ยอดขายปัจจุบัน!D:D,0,0)</f>
        <v>1165653</v>
      </c>
      <c r="F11" s="119">
        <f t="shared" ref="F11:F15" si="41">E11*100/107</f>
        <v>1089395.3271028036</v>
      </c>
      <c r="G11" s="119">
        <f>_xlfn.XLOOKUP(A11,ยอดขายปัจจุบัน!B:B,ยอดขายปัจจุบัน!C:C,0,0)</f>
        <v>2315</v>
      </c>
      <c r="H11" s="120">
        <f t="shared" ref="H11:H15" si="42">E11/G11</f>
        <v>503.52181425485963</v>
      </c>
      <c r="I11" s="20">
        <v>400</v>
      </c>
      <c r="J11" s="21">
        <f t="shared" ref="J11:J20" si="43">(H11-I11)/H11</f>
        <v>0.20559549025310281</v>
      </c>
      <c r="K11" s="22">
        <f t="shared" ref="K11:K20" si="44">(E11-C11)/$E$35</f>
        <v>-77597.210526315786</v>
      </c>
      <c r="L11" s="71">
        <f t="shared" si="5"/>
        <v>0.41264974511469832</v>
      </c>
      <c r="M11" s="66"/>
      <c r="N11" s="24">
        <f t="shared" ref="N11:N15" si="45">C11-F11</f>
        <v>1550604.6728971964</v>
      </c>
      <c r="O11" s="23">
        <f t="shared" ref="O11:O18" si="46">N11/$E$35</f>
        <v>81610.772257747172</v>
      </c>
      <c r="P11" s="24">
        <f t="shared" ref="P11:P20" si="47">SUM(N11/$E$35)</f>
        <v>81610.772257747172</v>
      </c>
      <c r="Q11" s="24">
        <f t="shared" ref="Q11:Q18" si="48">E11/$D$35</f>
        <v>97137.75</v>
      </c>
      <c r="R11" s="24">
        <f t="shared" ref="R11:R15" si="49">Q11*22</f>
        <v>2137030.5</v>
      </c>
      <c r="S11" s="25">
        <f t="shared" ref="S11:S15" si="50">R11/C11</f>
        <v>0.80948125000000004</v>
      </c>
      <c r="T11" s="26">
        <f t="shared" ref="T11:T15" si="51">(C11-F11)*110%</f>
        <v>1705665.1401869161</v>
      </c>
      <c r="U11" s="27">
        <f t="shared" ref="U11:U18" si="52">T11/$E$35</f>
        <v>89771.849483521903</v>
      </c>
      <c r="V11" s="27">
        <f t="shared" ref="V11:V15" si="53">(C11-F11)*120%</f>
        <v>1860725.6074766356</v>
      </c>
      <c r="W11" s="27">
        <f t="shared" ref="W11:W18" si="54">SUM(V11/$E$35)</f>
        <v>97932.926709296604</v>
      </c>
      <c r="X11" s="28">
        <f t="shared" ref="X11:X18" si="55">E11/$E$20</f>
        <v>0.15062637207960311</v>
      </c>
      <c r="Y11" s="28" t="e">
        <f t="shared" ref="Y11:Y18" si="56">E11/$H$35</f>
        <v>#DIV/0!</v>
      </c>
      <c r="Z11" s="29">
        <f>_xlfn.XLOOKUP(A11,ยอดขายปีที่แล้ว!B:B,ยอดขายปีที่แล้ว!D:D,0,0)</f>
        <v>910304</v>
      </c>
      <c r="AA11" s="30">
        <f t="shared" ref="AA11:AA18" si="57">Z11*100/107</f>
        <v>850751.40186915884</v>
      </c>
      <c r="AB11" s="119">
        <f t="shared" ref="AB11:AB15" si="58">F11</f>
        <v>1089395.3271028036</v>
      </c>
      <c r="AC11" s="34">
        <f t="shared" ref="AC11" si="59">AB11-AA11</f>
        <v>238643.92523364478</v>
      </c>
      <c r="AD11" s="72">
        <f t="shared" ref="AD11" si="60">(AB11-AA11)/AA11</f>
        <v>0.28050958800576503</v>
      </c>
      <c r="AE11" s="29">
        <f>_xlfn.XLOOKUP(A11,ยอดขายเดือนที่เแล้ว!B:B,ยอดขายเดือนที่เแล้ว!D:D,0,0)</f>
        <v>927365</v>
      </c>
      <c r="AF11" s="26">
        <f t="shared" ref="AF11:AF15" si="61">AE11*100/107</f>
        <v>866696.26168224297</v>
      </c>
      <c r="AG11" s="119">
        <f t="shared" ref="AG11:AG15" si="62">F11</f>
        <v>1089395.3271028036</v>
      </c>
      <c r="AH11" s="109">
        <f t="shared" si="31"/>
        <v>222699.06542056066</v>
      </c>
      <c r="AI11" s="110">
        <f t="shared" si="32"/>
        <v>0.25695168569010035</v>
      </c>
      <c r="AJ11" s="30">
        <v>571608</v>
      </c>
      <c r="AK11" s="119">
        <v>623851</v>
      </c>
      <c r="AL11" s="30"/>
      <c r="AM11" s="111"/>
      <c r="AN11" s="116"/>
      <c r="AO11" s="117">
        <f t="shared" si="33"/>
        <v>52243</v>
      </c>
      <c r="AP11" s="118">
        <f t="shared" si="34"/>
        <v>9.139655148283439E-2</v>
      </c>
      <c r="AQ11" s="31" t="s">
        <v>256</v>
      </c>
      <c r="AR11" s="32"/>
      <c r="AS11" s="9" t="str">
        <f t="shared" ref="AS11:AS18" si="63">A11</f>
        <v>Yuedpao สาขา Future Park Rangsit ชั้น 3</v>
      </c>
      <c r="AT11" s="10">
        <f t="shared" ref="AT11:AT18" si="64">C11</f>
        <v>2640000</v>
      </c>
      <c r="AU11" s="10">
        <f t="shared" ref="AU11:AU18" si="65">F11</f>
        <v>1089395.3271028036</v>
      </c>
      <c r="AV11" s="11">
        <f t="shared" ref="AV11:AV19" si="66">AU11/$D$35</f>
        <v>90782.943925233631</v>
      </c>
      <c r="AW11" s="12">
        <f t="shared" ref="AW11:AW19" si="67">(AV11*$E$35)+AU11</f>
        <v>2814271.2616822426</v>
      </c>
      <c r="AX11" s="94">
        <f t="shared" ref="AX11:AX18" si="68">AW11/AT11</f>
        <v>1.066011841546304</v>
      </c>
      <c r="AY11" s="88">
        <f t="shared" si="28"/>
        <v>136174.41588785045</v>
      </c>
      <c r="AZ11" s="89">
        <f t="shared" ref="AZ11:AZ19" si="69">(AY11*$E$35)+AU11</f>
        <v>3676709.2289719624</v>
      </c>
      <c r="BA11" s="68">
        <f t="shared" si="30"/>
        <v>1.3926928897621069</v>
      </c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</row>
    <row r="12" spans="1:73" s="33" customFormat="1" ht="60" customHeight="1" x14ac:dyDescent="0.15">
      <c r="A12" s="17" t="s">
        <v>51</v>
      </c>
      <c r="B12" s="18">
        <f t="shared" ref="B12" si="70">(C12*7)/100+C12</f>
        <v>1059300</v>
      </c>
      <c r="C12" s="19">
        <f>_xlfn.XLOOKUP(A12,'Target ปี 2026'!B:B,'Target ปี 2026'!C:C,0,0)</f>
        <v>990000</v>
      </c>
      <c r="D12" s="19">
        <f t="shared" si="40"/>
        <v>33000</v>
      </c>
      <c r="E12" s="119">
        <f>_xlfn.XLOOKUP(A12,ยอดขายปัจจุบัน!B:B,ยอดขายปัจจุบัน!D:D,0,0)</f>
        <v>389084.3</v>
      </c>
      <c r="F12" s="119">
        <f t="shared" si="41"/>
        <v>363630.18691588787</v>
      </c>
      <c r="G12" s="119">
        <f>_xlfn.XLOOKUP(A12,ยอดขายปัจจุบัน!B:B,ยอดขายปัจจุบัน!C:C,0,0)</f>
        <v>718</v>
      </c>
      <c r="H12" s="120">
        <f t="shared" ref="H12" si="71">E12/G12</f>
        <v>541.90013927576604</v>
      </c>
      <c r="I12" s="20">
        <v>401</v>
      </c>
      <c r="J12" s="21">
        <f t="shared" ref="J12" si="72">(H12-I12)/H12</f>
        <v>0.26001126234083466</v>
      </c>
      <c r="K12" s="22">
        <f t="shared" si="44"/>
        <v>-31627.142105263156</v>
      </c>
      <c r="L12" s="71">
        <f t="shared" si="5"/>
        <v>0.36730321910695746</v>
      </c>
      <c r="M12" s="66"/>
      <c r="N12" s="24">
        <f t="shared" si="45"/>
        <v>626369.81308411213</v>
      </c>
      <c r="O12" s="23">
        <f t="shared" si="46"/>
        <v>32966.832267584847</v>
      </c>
      <c r="P12" s="24">
        <f t="shared" si="47"/>
        <v>32966.832267584847</v>
      </c>
      <c r="Q12" s="24">
        <f t="shared" si="48"/>
        <v>32423.691666666666</v>
      </c>
      <c r="R12" s="24">
        <f t="shared" si="49"/>
        <v>713321.21666666667</v>
      </c>
      <c r="S12" s="25">
        <f t="shared" si="50"/>
        <v>0.72052648148148146</v>
      </c>
      <c r="T12" s="26">
        <f t="shared" si="51"/>
        <v>689006.79439252336</v>
      </c>
      <c r="U12" s="27">
        <f t="shared" si="52"/>
        <v>36263.515494343337</v>
      </c>
      <c r="V12" s="27">
        <f t="shared" si="53"/>
        <v>751643.77570093458</v>
      </c>
      <c r="W12" s="27">
        <f t="shared" si="54"/>
        <v>39560.19872110182</v>
      </c>
      <c r="X12" s="28">
        <f t="shared" si="55"/>
        <v>5.0277704035533666E-2</v>
      </c>
      <c r="Y12" s="28" t="e">
        <f t="shared" si="56"/>
        <v>#DIV/0!</v>
      </c>
      <c r="Z12" s="29">
        <f>_xlfn.XLOOKUP(A12,ยอดขายปีที่แล้ว!B:B,ยอดขายปีที่แล้ว!D:D,0,0)</f>
        <v>298610</v>
      </c>
      <c r="AA12" s="30">
        <f t="shared" si="57"/>
        <v>279074.76635514019</v>
      </c>
      <c r="AB12" s="119">
        <f t="shared" si="58"/>
        <v>363630.18691588787</v>
      </c>
      <c r="AC12" s="34">
        <f t="shared" ref="AC12" si="73">AB12-AA12</f>
        <v>84555.420560747676</v>
      </c>
      <c r="AD12" s="72">
        <f t="shared" ref="AD12" si="74">(AB12-AA12)/AA12</f>
        <v>0.30298482971099433</v>
      </c>
      <c r="AE12" s="29">
        <f>_xlfn.XLOOKUP(A12,ยอดขายเดือนที่เแล้ว!B:B,ยอดขายเดือนที่เแล้ว!D:D,0,0)</f>
        <v>315310</v>
      </c>
      <c r="AF12" s="26">
        <f t="shared" si="61"/>
        <v>294682.24299065419</v>
      </c>
      <c r="AG12" s="119">
        <f t="shared" si="62"/>
        <v>363630.18691588787</v>
      </c>
      <c r="AH12" s="109">
        <f t="shared" si="31"/>
        <v>68947.943925233674</v>
      </c>
      <c r="AI12" s="110">
        <f t="shared" si="32"/>
        <v>0.23397386698804362</v>
      </c>
      <c r="AJ12" s="30">
        <v>191844</v>
      </c>
      <c r="AK12" s="119">
        <v>209694</v>
      </c>
      <c r="AL12" s="30"/>
      <c r="AM12" s="111"/>
      <c r="AN12" s="116"/>
      <c r="AO12" s="117">
        <f t="shared" si="33"/>
        <v>17850</v>
      </c>
      <c r="AP12" s="118">
        <f t="shared" si="34"/>
        <v>9.3044348533183205E-2</v>
      </c>
      <c r="AQ12" s="31" t="s">
        <v>261</v>
      </c>
      <c r="AR12" s="32"/>
      <c r="AS12" s="9" t="str">
        <f t="shared" si="63"/>
        <v>Yuedpao สาขา Central พัทยา</v>
      </c>
      <c r="AT12" s="10">
        <f t="shared" si="64"/>
        <v>990000</v>
      </c>
      <c r="AU12" s="10">
        <f t="shared" si="65"/>
        <v>363630.18691588787</v>
      </c>
      <c r="AV12" s="11">
        <f t="shared" si="66"/>
        <v>30302.515576323989</v>
      </c>
      <c r="AW12" s="12">
        <f t="shared" si="67"/>
        <v>939377.98286604369</v>
      </c>
      <c r="AX12" s="94">
        <f t="shared" si="68"/>
        <v>0.94886664935964005</v>
      </c>
      <c r="AY12" s="88">
        <f t="shared" si="28"/>
        <v>45453.773364485984</v>
      </c>
      <c r="AZ12" s="89">
        <f t="shared" si="69"/>
        <v>1227251.8808411215</v>
      </c>
      <c r="BA12" s="68">
        <f t="shared" si="30"/>
        <v>1.2396483644859813</v>
      </c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</row>
    <row r="13" spans="1:73" s="33" customFormat="1" ht="60" customHeight="1" x14ac:dyDescent="0.15">
      <c r="A13" s="17" t="s">
        <v>81</v>
      </c>
      <c r="B13" s="18">
        <f>(C13*7)/100+C13</f>
        <v>2236300</v>
      </c>
      <c r="C13" s="19">
        <f>_xlfn.XLOOKUP(A13,'Target ปี 2026'!B:B,'Target ปี 2026'!C:C,0,0)</f>
        <v>2090000</v>
      </c>
      <c r="D13" s="19">
        <f t="shared" si="40"/>
        <v>69666.666666666672</v>
      </c>
      <c r="E13" s="119">
        <f>_xlfn.XLOOKUP(A13,ยอดขายปัจจุบัน!B:B,ยอดขายปัจจุบัน!D:D,0,0)</f>
        <v>933072.5</v>
      </c>
      <c r="F13" s="119">
        <f t="shared" si="41"/>
        <v>872030.37383177574</v>
      </c>
      <c r="G13" s="119">
        <f>_xlfn.XLOOKUP(A13,ยอดขายปัจจุบัน!B:B,ยอดขายปัจจุบัน!C:C,0,0)</f>
        <v>1970</v>
      </c>
      <c r="H13" s="120">
        <f t="shared" si="42"/>
        <v>473.64086294416245</v>
      </c>
      <c r="I13" s="20">
        <v>450</v>
      </c>
      <c r="J13" s="21">
        <f t="shared" si="43"/>
        <v>4.9913056059416629E-2</v>
      </c>
      <c r="K13" s="22">
        <f t="shared" si="44"/>
        <v>-60890.92105263158</v>
      </c>
      <c r="L13" s="71">
        <f t="shared" si="5"/>
        <v>0.41723941331663911</v>
      </c>
      <c r="M13" s="69"/>
      <c r="N13" s="24">
        <f t="shared" si="45"/>
        <v>1217969.6261682243</v>
      </c>
      <c r="O13" s="23">
        <f t="shared" si="46"/>
        <v>64103.664535169701</v>
      </c>
      <c r="P13" s="24">
        <f t="shared" si="47"/>
        <v>64103.664535169701</v>
      </c>
      <c r="Q13" s="24">
        <f t="shared" si="48"/>
        <v>77756.041666666672</v>
      </c>
      <c r="R13" s="24">
        <f t="shared" si="49"/>
        <v>1710632.9166666667</v>
      </c>
      <c r="S13" s="25">
        <f t="shared" si="50"/>
        <v>0.81848464912280705</v>
      </c>
      <c r="T13" s="26">
        <f t="shared" si="51"/>
        <v>1339766.5887850467</v>
      </c>
      <c r="U13" s="27">
        <f t="shared" si="52"/>
        <v>70514.030988686674</v>
      </c>
      <c r="V13" s="27">
        <f t="shared" si="53"/>
        <v>1461563.5514018692</v>
      </c>
      <c r="W13" s="27">
        <f t="shared" si="54"/>
        <v>76924.397442203641</v>
      </c>
      <c r="X13" s="28">
        <f t="shared" si="55"/>
        <v>0.12057218191198023</v>
      </c>
      <c r="Y13" s="28" t="e">
        <f t="shared" si="56"/>
        <v>#DIV/0!</v>
      </c>
      <c r="Z13" s="29">
        <f>_xlfn.XLOOKUP(A13,ยอดขายปีที่แล้ว!B:B,ยอดขายปีที่แล้ว!D:D,0,0)</f>
        <v>394333</v>
      </c>
      <c r="AA13" s="30">
        <f t="shared" si="57"/>
        <v>368535.51401869161</v>
      </c>
      <c r="AB13" s="119">
        <f t="shared" si="58"/>
        <v>872030.37383177574</v>
      </c>
      <c r="AC13" s="34">
        <f t="shared" ref="AC13:AC15" si="75">AB13-AA13</f>
        <v>503494.85981308413</v>
      </c>
      <c r="AD13" s="72">
        <f t="shared" ref="AD13:AD15" si="76">(AB13-AA13)/AA13</f>
        <v>1.3662044515675837</v>
      </c>
      <c r="AE13" s="29">
        <f>_xlfn.XLOOKUP(A13,ยอดขายเดือนที่เแล้ว!B:B,ยอดขายเดือนที่เแล้ว!D:D,0,0)</f>
        <v>744628</v>
      </c>
      <c r="AF13" s="26">
        <f t="shared" si="61"/>
        <v>695914.01869158878</v>
      </c>
      <c r="AG13" s="119">
        <f t="shared" si="62"/>
        <v>872030.37383177574</v>
      </c>
      <c r="AH13" s="114">
        <f t="shared" si="31"/>
        <v>176116.35514018696</v>
      </c>
      <c r="AI13" s="110">
        <f t="shared" si="32"/>
        <v>0.25307200373877969</v>
      </c>
      <c r="AJ13" s="30">
        <v>425156</v>
      </c>
      <c r="AK13" s="119">
        <v>450960.5</v>
      </c>
      <c r="AL13" s="30"/>
      <c r="AM13" s="111"/>
      <c r="AN13" s="116"/>
      <c r="AO13" s="117">
        <f t="shared" si="33"/>
        <v>25804.5</v>
      </c>
      <c r="AP13" s="118">
        <f t="shared" si="34"/>
        <v>6.0694192249433149E-2</v>
      </c>
      <c r="AQ13" s="31" t="s">
        <v>260</v>
      </c>
      <c r="AR13" s="32"/>
      <c r="AS13" s="9" t="str">
        <f t="shared" si="63"/>
        <v>Yuedpao สาขา Central ปิ่นเกล้า</v>
      </c>
      <c r="AT13" s="10">
        <f t="shared" si="64"/>
        <v>2090000</v>
      </c>
      <c r="AU13" s="10">
        <f t="shared" si="65"/>
        <v>872030.37383177574</v>
      </c>
      <c r="AV13" s="11">
        <f t="shared" si="66"/>
        <v>72669.19781931465</v>
      </c>
      <c r="AW13" s="12">
        <f t="shared" si="67"/>
        <v>2252745.1323987544</v>
      </c>
      <c r="AX13" s="94">
        <f t="shared" si="68"/>
        <v>1.0778684844013178</v>
      </c>
      <c r="AY13" s="88">
        <f t="shared" si="28"/>
        <v>109003.79672897197</v>
      </c>
      <c r="AZ13" s="89">
        <f t="shared" si="69"/>
        <v>2943102.5116822431</v>
      </c>
      <c r="BA13" s="68">
        <f t="shared" si="30"/>
        <v>1.4081830199436569</v>
      </c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</row>
    <row r="14" spans="1:73" s="33" customFormat="1" ht="60" customHeight="1" x14ac:dyDescent="0.15">
      <c r="A14" s="17" t="s">
        <v>198</v>
      </c>
      <c r="B14" s="18">
        <f>(C14*7)/100+C14</f>
        <v>470800</v>
      </c>
      <c r="C14" s="19">
        <f>_xlfn.XLOOKUP(A14,'Target ปี 2026'!B:B,'Target ปี 2026'!C:C,0,0)</f>
        <v>440000</v>
      </c>
      <c r="D14" s="19">
        <f t="shared" si="40"/>
        <v>14666.666666666666</v>
      </c>
      <c r="E14" s="119">
        <f>_xlfn.XLOOKUP(A14,ยอดขายปัจจุบัน!B:B,ยอดขายปัจจุบัน!D:D,0,0)</f>
        <v>131864</v>
      </c>
      <c r="F14" s="119">
        <f t="shared" si="41"/>
        <v>123237.3831775701</v>
      </c>
      <c r="G14" s="119">
        <f>_xlfn.XLOOKUP(A14,ยอดขายปัจจุบัน!B:B,ยอดขายปัจจุบัน!C:C,0,0)</f>
        <v>287</v>
      </c>
      <c r="H14" s="120">
        <f t="shared" si="42"/>
        <v>459.45644599303137</v>
      </c>
      <c r="I14" s="20">
        <v>430</v>
      </c>
      <c r="J14" s="21">
        <f t="shared" si="43"/>
        <v>6.4111508827276606E-2</v>
      </c>
      <c r="K14" s="22">
        <f t="shared" si="44"/>
        <v>-16217.684210526315</v>
      </c>
      <c r="L14" s="71">
        <f t="shared" si="5"/>
        <v>0.28008496176720477</v>
      </c>
      <c r="M14" s="67"/>
      <c r="N14" s="24">
        <f t="shared" si="45"/>
        <v>316762.61682242993</v>
      </c>
      <c r="O14" s="23">
        <f t="shared" si="46"/>
        <v>16671.716674864732</v>
      </c>
      <c r="P14" s="24">
        <f t="shared" si="47"/>
        <v>16671.716674864732</v>
      </c>
      <c r="Q14" s="24">
        <f t="shared" si="48"/>
        <v>10988.666666666666</v>
      </c>
      <c r="R14" s="24">
        <f t="shared" si="49"/>
        <v>241750.66666666666</v>
      </c>
      <c r="S14" s="25">
        <f t="shared" si="50"/>
        <v>0.54943333333333333</v>
      </c>
      <c r="T14" s="26">
        <f t="shared" si="51"/>
        <v>348438.87850467296</v>
      </c>
      <c r="U14" s="27">
        <f t="shared" si="52"/>
        <v>18338.888342351209</v>
      </c>
      <c r="V14" s="27">
        <f t="shared" si="53"/>
        <v>380115.14018691593</v>
      </c>
      <c r="W14" s="27">
        <f t="shared" si="54"/>
        <v>20006.060009837682</v>
      </c>
      <c r="X14" s="28">
        <f t="shared" si="55"/>
        <v>1.7039544296548619E-2</v>
      </c>
      <c r="Y14" s="28" t="e">
        <f t="shared" si="56"/>
        <v>#DIV/0!</v>
      </c>
      <c r="Z14" s="29">
        <f>_xlfn.XLOOKUP(A14,ยอดขายปีที่แล้ว!B:B,ยอดขายปีที่แล้ว!D:D,0,0)</f>
        <v>0</v>
      </c>
      <c r="AA14" s="30">
        <f t="shared" si="57"/>
        <v>0</v>
      </c>
      <c r="AB14" s="119">
        <f t="shared" si="58"/>
        <v>123237.3831775701</v>
      </c>
      <c r="AC14" s="34">
        <f t="shared" si="75"/>
        <v>123237.3831775701</v>
      </c>
      <c r="AD14" s="72" t="e">
        <f t="shared" si="76"/>
        <v>#DIV/0!</v>
      </c>
      <c r="AE14" s="29">
        <f>_xlfn.XLOOKUP(A14,ยอดขายเดือนที่เแล้ว!B:B,ยอดขายเดือนที่เแล้ว!D:D,0,0)</f>
        <v>151402</v>
      </c>
      <c r="AF14" s="26">
        <f t="shared" si="61"/>
        <v>141497.19626168226</v>
      </c>
      <c r="AG14" s="119">
        <f t="shared" si="62"/>
        <v>123237.3831775701</v>
      </c>
      <c r="AH14" s="112">
        <f t="shared" si="31"/>
        <v>-18259.81308411216</v>
      </c>
      <c r="AI14" s="110">
        <f t="shared" si="32"/>
        <v>-0.12904717242836958</v>
      </c>
      <c r="AJ14" s="30">
        <v>67841</v>
      </c>
      <c r="AK14" s="119">
        <v>79507</v>
      </c>
      <c r="AL14" s="30"/>
      <c r="AM14" s="111"/>
      <c r="AN14" s="116"/>
      <c r="AO14" s="117">
        <f t="shared" si="33"/>
        <v>11666</v>
      </c>
      <c r="AP14" s="118">
        <f t="shared" si="34"/>
        <v>0.17196090859509736</v>
      </c>
      <c r="AQ14" s="99" t="s">
        <v>258</v>
      </c>
      <c r="AR14" s="32"/>
      <c r="AS14" s="9" t="str">
        <f t="shared" si="63"/>
        <v>Yuedpao สาขา I am China Town</v>
      </c>
      <c r="AT14" s="10">
        <f t="shared" si="64"/>
        <v>440000</v>
      </c>
      <c r="AU14" s="10">
        <f t="shared" si="65"/>
        <v>123237.3831775701</v>
      </c>
      <c r="AV14" s="11">
        <f t="shared" si="66"/>
        <v>10269.781931464175</v>
      </c>
      <c r="AW14" s="12">
        <f t="shared" si="67"/>
        <v>318363.23987538938</v>
      </c>
      <c r="AX14" s="94">
        <f t="shared" si="68"/>
        <v>0.72355281789861225</v>
      </c>
      <c r="AY14" s="88">
        <f t="shared" si="28"/>
        <v>15404.672897196262</v>
      </c>
      <c r="AZ14" s="89">
        <f t="shared" si="69"/>
        <v>415926.16822429909</v>
      </c>
      <c r="BA14" s="68">
        <f t="shared" si="30"/>
        <v>0.94528674596431617</v>
      </c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</row>
    <row r="15" spans="1:73" s="33" customFormat="1" ht="60" customHeight="1" x14ac:dyDescent="0.15">
      <c r="A15" s="17" t="s">
        <v>211</v>
      </c>
      <c r="B15" s="18">
        <f t="shared" ref="B15:B18" si="77">(C15*7)/100+C15</f>
        <v>1177000</v>
      </c>
      <c r="C15" s="19">
        <f>_xlfn.XLOOKUP(A15,'Target ปี 2026'!B:B,'Target ปี 2026'!C:C,0,0)</f>
        <v>1100000</v>
      </c>
      <c r="D15" s="19">
        <f t="shared" si="40"/>
        <v>36666.666666666664</v>
      </c>
      <c r="E15" s="119">
        <f>_xlfn.XLOOKUP(A15,ยอดขายปัจจุบัน!B:B,ยอดขายปัจจุบัน!D:D,0,0)</f>
        <v>553114.61</v>
      </c>
      <c r="F15" s="119">
        <f t="shared" si="41"/>
        <v>516929.54205607477</v>
      </c>
      <c r="G15" s="119">
        <f>_xlfn.XLOOKUP(A15,ยอดขายปัจจุบัน!B:B,ยอดขายปัจจุบัน!C:C,0,0)</f>
        <v>1272</v>
      </c>
      <c r="H15" s="120">
        <f t="shared" si="42"/>
        <v>434.8385298742138</v>
      </c>
      <c r="I15" s="20">
        <v>430</v>
      </c>
      <c r="J15" s="21">
        <f>(H15-I15)/H15</f>
        <v>1.1127187546175936E-2</v>
      </c>
      <c r="K15" s="22">
        <f t="shared" si="44"/>
        <v>-28783.441578947368</v>
      </c>
      <c r="L15" s="71">
        <f t="shared" si="5"/>
        <v>0.46993594732370436</v>
      </c>
      <c r="M15" s="67"/>
      <c r="N15" s="24">
        <f t="shared" si="45"/>
        <v>583070.45794392517</v>
      </c>
      <c r="O15" s="23">
        <f t="shared" si="46"/>
        <v>30687.918839153957</v>
      </c>
      <c r="P15" s="24">
        <f t="shared" si="47"/>
        <v>30687.918839153957</v>
      </c>
      <c r="Q15" s="24">
        <f t="shared" si="48"/>
        <v>46092.884166666663</v>
      </c>
      <c r="R15" s="24">
        <f t="shared" si="49"/>
        <v>1014043.4516666665</v>
      </c>
      <c r="S15" s="25">
        <f t="shared" si="50"/>
        <v>0.92185768333333318</v>
      </c>
      <c r="T15" s="26">
        <f t="shared" si="51"/>
        <v>641377.50373831776</v>
      </c>
      <c r="U15" s="27">
        <f t="shared" si="52"/>
        <v>33756.710723069358</v>
      </c>
      <c r="V15" s="27">
        <f t="shared" si="53"/>
        <v>699684.54953271023</v>
      </c>
      <c r="W15" s="27">
        <f t="shared" si="54"/>
        <v>36825.502606984752</v>
      </c>
      <c r="X15" s="28">
        <f t="shared" si="55"/>
        <v>7.1473797990074722E-2</v>
      </c>
      <c r="Y15" s="28" t="e">
        <f t="shared" si="56"/>
        <v>#DIV/0!</v>
      </c>
      <c r="Z15" s="29">
        <f>_xlfn.XLOOKUP(A15,ยอดขายปีที่แล้ว!B:B,ยอดขายปีที่แล้ว!D:D,0,0)</f>
        <v>0</v>
      </c>
      <c r="AA15" s="30">
        <f t="shared" si="57"/>
        <v>0</v>
      </c>
      <c r="AB15" s="119">
        <f t="shared" si="58"/>
        <v>516929.54205607477</v>
      </c>
      <c r="AC15" s="34">
        <f t="shared" si="75"/>
        <v>516929.54205607477</v>
      </c>
      <c r="AD15" s="72" t="e">
        <f t="shared" si="76"/>
        <v>#DIV/0!</v>
      </c>
      <c r="AE15" s="29">
        <f>_xlfn.XLOOKUP(A15,ยอดขายเดือนที่เแล้ว!B:B,ยอดขายเดือนที่เแล้ว!D:D,0,0)</f>
        <v>411312</v>
      </c>
      <c r="AF15" s="26">
        <f t="shared" si="61"/>
        <v>384403.73831775703</v>
      </c>
      <c r="AG15" s="119">
        <f t="shared" si="62"/>
        <v>516929.54205607477</v>
      </c>
      <c r="AH15" s="114">
        <f t="shared" si="31"/>
        <v>132525.80373831774</v>
      </c>
      <c r="AI15" s="110">
        <f t="shared" si="32"/>
        <v>0.34475680262185393</v>
      </c>
      <c r="AJ15" s="30">
        <v>264448</v>
      </c>
      <c r="AK15" s="119">
        <v>304246.61</v>
      </c>
      <c r="AL15" s="30"/>
      <c r="AM15" s="111"/>
      <c r="AN15" s="116"/>
      <c r="AO15" s="117">
        <f t="shared" si="33"/>
        <v>39798.609999999986</v>
      </c>
      <c r="AP15" s="118">
        <f t="shared" si="34"/>
        <v>0.15049692189012578</v>
      </c>
      <c r="AQ15" s="99" t="s">
        <v>255</v>
      </c>
      <c r="AR15" s="32"/>
      <c r="AS15" s="9" t="str">
        <f t="shared" si="63"/>
        <v>Yuedpao สาขา Robinson ชลบุรี</v>
      </c>
      <c r="AT15" s="10">
        <f t="shared" si="64"/>
        <v>1100000</v>
      </c>
      <c r="AU15" s="10">
        <f t="shared" si="65"/>
        <v>516929.54205607477</v>
      </c>
      <c r="AV15" s="11">
        <f t="shared" si="66"/>
        <v>43077.461838006231</v>
      </c>
      <c r="AW15" s="12">
        <f t="shared" si="67"/>
        <v>1335401.3169781931</v>
      </c>
      <c r="AX15" s="94">
        <f t="shared" si="68"/>
        <v>1.2140011972529028</v>
      </c>
      <c r="AY15" s="88">
        <f t="shared" si="28"/>
        <v>64616.192757009347</v>
      </c>
      <c r="AZ15" s="89">
        <f t="shared" si="69"/>
        <v>1744637.2044392524</v>
      </c>
      <c r="BA15" s="68">
        <f t="shared" si="30"/>
        <v>1.5860338222175021</v>
      </c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</row>
    <row r="16" spans="1:73" s="33" customFormat="1" ht="60" customHeight="1" x14ac:dyDescent="0.15">
      <c r="A16" s="97" t="s">
        <v>239</v>
      </c>
      <c r="B16" s="18">
        <f t="shared" si="77"/>
        <v>588500</v>
      </c>
      <c r="C16" s="19">
        <f>_xlfn.XLOOKUP(A16,'Target ปี 2026'!B:B,'Target ปี 2026'!C:C,0,0)</f>
        <v>550000</v>
      </c>
      <c r="D16" s="19">
        <f t="shared" ref="D16:D18" si="78">C16/30</f>
        <v>18333.333333333332</v>
      </c>
      <c r="E16" s="119">
        <f>_xlfn.XLOOKUP(A16,ยอดขายปัจจุบัน!B:B,ยอดขายปัจจุบัน!D:D,0,0)</f>
        <v>220050</v>
      </c>
      <c r="F16" s="119">
        <f t="shared" ref="F16:F18" si="79">E16*100/107</f>
        <v>205654.20560747664</v>
      </c>
      <c r="G16" s="119">
        <f>_xlfn.XLOOKUP(A16,ยอดขายปัจจุบัน!B:B,ยอดขายปัจจุบัน!C:C,0,0)</f>
        <v>433</v>
      </c>
      <c r="H16" s="120">
        <f t="shared" ref="H16:H18" si="80">E16/G16</f>
        <v>508.19861431870669</v>
      </c>
      <c r="I16" s="20">
        <v>431</v>
      </c>
      <c r="J16" s="21">
        <f t="shared" ref="J16:J18" si="81">(H16-I16)/H16</f>
        <v>0.15190638491251987</v>
      </c>
      <c r="K16" s="22">
        <f t="shared" si="44"/>
        <v>-17365.78947368421</v>
      </c>
      <c r="L16" s="71">
        <f t="shared" si="5"/>
        <v>0.37391673746813936</v>
      </c>
      <c r="M16" s="67"/>
      <c r="N16" s="24">
        <f t="shared" ref="N16:N18" si="82">C16-F16</f>
        <v>344345.79439252336</v>
      </c>
      <c r="O16" s="23">
        <f t="shared" si="46"/>
        <v>18123.462862764387</v>
      </c>
      <c r="P16" s="24">
        <f t="shared" si="47"/>
        <v>18123.462862764387</v>
      </c>
      <c r="Q16" s="24">
        <f t="shared" si="48"/>
        <v>18337.5</v>
      </c>
      <c r="R16" s="24">
        <f t="shared" ref="R16:R18" si="83">Q16*22</f>
        <v>403425</v>
      </c>
      <c r="S16" s="25">
        <f t="shared" ref="S16:S18" si="84">R16/C16</f>
        <v>0.73350000000000004</v>
      </c>
      <c r="T16" s="26">
        <f t="shared" ref="T16:T18" si="85">(C16-F16)*110%</f>
        <v>378780.37383177574</v>
      </c>
      <c r="U16" s="27">
        <f t="shared" si="52"/>
        <v>19935.80914904083</v>
      </c>
      <c r="V16" s="27">
        <f t="shared" ref="V16:V18" si="86">(C16-F16)*120%</f>
        <v>413214.953271028</v>
      </c>
      <c r="W16" s="27">
        <f t="shared" si="54"/>
        <v>21748.155435317265</v>
      </c>
      <c r="X16" s="28">
        <f t="shared" si="55"/>
        <v>2.8434991525022168E-2</v>
      </c>
      <c r="Y16" s="28" t="e">
        <f t="shared" si="56"/>
        <v>#DIV/0!</v>
      </c>
      <c r="Z16" s="29">
        <f>_xlfn.XLOOKUP(A16,ยอดขายปีที่แล้ว!B:B,ยอดขายปีที่แล้ว!D:D,0,0)</f>
        <v>0</v>
      </c>
      <c r="AA16" s="30">
        <f t="shared" si="57"/>
        <v>0</v>
      </c>
      <c r="AB16" s="119">
        <f t="shared" ref="AB16:AB18" si="87">F16</f>
        <v>205654.20560747664</v>
      </c>
      <c r="AC16" s="34">
        <f t="shared" ref="AC16:AC18" si="88">AB16-AA16</f>
        <v>205654.20560747664</v>
      </c>
      <c r="AD16" s="72" t="e">
        <f t="shared" ref="AD16:AD18" si="89">(AB16-AA16)/AA16</f>
        <v>#DIV/0!</v>
      </c>
      <c r="AE16" s="29">
        <f>_xlfn.XLOOKUP(A16,ยอดขายเดือนที่เแล้ว!B:B,ยอดขายเดือนที่เแล้ว!D:D,0,0)</f>
        <v>141136</v>
      </c>
      <c r="AF16" s="26">
        <f t="shared" ref="AF16:AF18" si="90">AE16*100/107</f>
        <v>131902.80373831774</v>
      </c>
      <c r="AG16" s="119">
        <f t="shared" ref="AG16:AG18" si="91">F16</f>
        <v>205654.20560747664</v>
      </c>
      <c r="AH16" s="114">
        <f t="shared" si="31"/>
        <v>73751.401869158901</v>
      </c>
      <c r="AI16" s="110">
        <f t="shared" si="32"/>
        <v>0.5591344518762047</v>
      </c>
      <c r="AJ16" s="30">
        <v>88927</v>
      </c>
      <c r="AK16" s="119">
        <v>105013</v>
      </c>
      <c r="AL16" s="30"/>
      <c r="AM16" s="111"/>
      <c r="AN16" s="116"/>
      <c r="AO16" s="117">
        <f t="shared" si="33"/>
        <v>16086</v>
      </c>
      <c r="AP16" s="118">
        <f t="shared" si="34"/>
        <v>0.18088994343675149</v>
      </c>
      <c r="AQ16" s="99" t="s">
        <v>259</v>
      </c>
      <c r="AR16" s="32"/>
      <c r="AS16" s="9" t="str">
        <f t="shared" si="63"/>
        <v>Yuedpao สาขา Big C อำนาจเจริญ</v>
      </c>
      <c r="AT16" s="10">
        <f t="shared" si="64"/>
        <v>550000</v>
      </c>
      <c r="AU16" s="10">
        <f t="shared" si="65"/>
        <v>205654.20560747664</v>
      </c>
      <c r="AV16" s="11">
        <f t="shared" si="66"/>
        <v>17137.850467289722</v>
      </c>
      <c r="AW16" s="12">
        <f t="shared" si="67"/>
        <v>531273.36448598141</v>
      </c>
      <c r="AX16" s="94">
        <f t="shared" si="68"/>
        <v>0.96595157179269342</v>
      </c>
      <c r="AY16" s="88">
        <f t="shared" si="28"/>
        <v>25706.775700934581</v>
      </c>
      <c r="AZ16" s="89">
        <f t="shared" si="69"/>
        <v>694082.94392523367</v>
      </c>
      <c r="BA16" s="68">
        <f t="shared" si="30"/>
        <v>1.2619689889549703</v>
      </c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</row>
    <row r="17" spans="1:73" s="33" customFormat="1" ht="60" customHeight="1" x14ac:dyDescent="0.15">
      <c r="A17" s="97" t="s">
        <v>237</v>
      </c>
      <c r="B17" s="18">
        <f t="shared" si="77"/>
        <v>1118150</v>
      </c>
      <c r="C17" s="19">
        <f>_xlfn.XLOOKUP(A17,'Target ปี 2026'!B:B,'Target ปี 2026'!C:C,0,0)</f>
        <v>1045000</v>
      </c>
      <c r="D17" s="19">
        <f t="shared" si="78"/>
        <v>34833.333333333336</v>
      </c>
      <c r="E17" s="119">
        <f>_xlfn.XLOOKUP(A17,ยอดขายปัจจุบัน!B:B,ยอดขายปัจจุบัน!D:D,0,0)</f>
        <v>465863</v>
      </c>
      <c r="F17" s="119">
        <f t="shared" si="79"/>
        <v>435385.98130841122</v>
      </c>
      <c r="G17" s="119">
        <f>_xlfn.XLOOKUP(A17,ยอดขายปัจจุบัน!B:B,ยอดขายปัจจุบัน!C:C,0,0)</f>
        <v>930</v>
      </c>
      <c r="H17" s="120">
        <f t="shared" si="80"/>
        <v>500.92795698924732</v>
      </c>
      <c r="I17" s="20">
        <v>432</v>
      </c>
      <c r="J17" s="21">
        <f t="shared" si="81"/>
        <v>0.13760053921431839</v>
      </c>
      <c r="K17" s="22">
        <f t="shared" si="44"/>
        <v>-30480.894736842107</v>
      </c>
      <c r="L17" s="71">
        <f t="shared" si="5"/>
        <v>0.41663730268747484</v>
      </c>
      <c r="M17" s="67"/>
      <c r="N17" s="24">
        <f t="shared" si="82"/>
        <v>609614.01869158878</v>
      </c>
      <c r="O17" s="23">
        <f t="shared" si="46"/>
        <v>32084.948352188883</v>
      </c>
      <c r="P17" s="24">
        <f t="shared" si="47"/>
        <v>32084.948352188883</v>
      </c>
      <c r="Q17" s="24">
        <f t="shared" si="48"/>
        <v>38821.916666666664</v>
      </c>
      <c r="R17" s="24">
        <f t="shared" si="83"/>
        <v>854082.16666666663</v>
      </c>
      <c r="S17" s="25">
        <f t="shared" si="84"/>
        <v>0.81730350877192981</v>
      </c>
      <c r="T17" s="26">
        <f t="shared" si="85"/>
        <v>670575.42056074773</v>
      </c>
      <c r="U17" s="27">
        <f t="shared" si="52"/>
        <v>35293.443187407778</v>
      </c>
      <c r="V17" s="27">
        <f t="shared" si="86"/>
        <v>731536.82242990646</v>
      </c>
      <c r="W17" s="27">
        <f t="shared" si="54"/>
        <v>38501.938022626658</v>
      </c>
      <c r="X17" s="28">
        <f t="shared" si="55"/>
        <v>6.019909319164464E-2</v>
      </c>
      <c r="Y17" s="28" t="e">
        <f t="shared" si="56"/>
        <v>#DIV/0!</v>
      </c>
      <c r="Z17" s="29">
        <f>_xlfn.XLOOKUP(A17,ยอดขายปีที่แล้ว!B:B,ยอดขายปีที่แล้ว!D:D,0,0)</f>
        <v>0</v>
      </c>
      <c r="AA17" s="30">
        <f t="shared" si="57"/>
        <v>0</v>
      </c>
      <c r="AB17" s="119">
        <f t="shared" si="87"/>
        <v>435385.98130841122</v>
      </c>
      <c r="AC17" s="34">
        <f t="shared" si="88"/>
        <v>435385.98130841122</v>
      </c>
      <c r="AD17" s="72" t="e">
        <f t="shared" si="89"/>
        <v>#DIV/0!</v>
      </c>
      <c r="AE17" s="29">
        <f>_xlfn.XLOOKUP(A17,ยอดขายเดือนที่เแล้ว!B:B,ยอดขายเดือนที่เแล้ว!D:D,0,0)</f>
        <v>398842</v>
      </c>
      <c r="AF17" s="26">
        <f t="shared" si="90"/>
        <v>372749.53271028039</v>
      </c>
      <c r="AG17" s="119">
        <f t="shared" si="91"/>
        <v>435385.98130841122</v>
      </c>
      <c r="AH17" s="114">
        <f t="shared" si="31"/>
        <v>62636.448598130839</v>
      </c>
      <c r="AI17" s="110">
        <f t="shared" si="32"/>
        <v>0.16803897282633223</v>
      </c>
      <c r="AJ17" s="30">
        <v>229403</v>
      </c>
      <c r="AK17" s="119">
        <v>240917</v>
      </c>
      <c r="AL17" s="30"/>
      <c r="AM17" s="111"/>
      <c r="AN17" s="116"/>
      <c r="AO17" s="117">
        <f t="shared" si="33"/>
        <v>11514</v>
      </c>
      <c r="AP17" s="118">
        <f t="shared" si="34"/>
        <v>5.0191148328487423E-2</v>
      </c>
      <c r="AQ17" s="99" t="s">
        <v>238</v>
      </c>
      <c r="AR17" s="32"/>
      <c r="AS17" s="9" t="str">
        <f t="shared" si="63"/>
        <v>Yuedpao สาขา Robinson แม่สอด</v>
      </c>
      <c r="AT17" s="10">
        <f t="shared" si="64"/>
        <v>1045000</v>
      </c>
      <c r="AU17" s="10">
        <f t="shared" si="65"/>
        <v>435385.98130841122</v>
      </c>
      <c r="AV17" s="11">
        <f t="shared" si="66"/>
        <v>36282.165109034271</v>
      </c>
      <c r="AW17" s="12">
        <f t="shared" si="67"/>
        <v>1124747.1183800623</v>
      </c>
      <c r="AX17" s="94">
        <f t="shared" si="68"/>
        <v>1.0763130319426433</v>
      </c>
      <c r="AY17" s="88">
        <f t="shared" si="28"/>
        <v>54423.247663551403</v>
      </c>
      <c r="AZ17" s="89">
        <f t="shared" si="69"/>
        <v>1469427.686915888</v>
      </c>
      <c r="BA17" s="68">
        <f t="shared" si="30"/>
        <v>1.4061508965702276</v>
      </c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</row>
    <row r="18" spans="1:73" s="33" customFormat="1" ht="60" customHeight="1" x14ac:dyDescent="0.15">
      <c r="A18" s="97" t="s">
        <v>246</v>
      </c>
      <c r="B18" s="18">
        <f t="shared" si="77"/>
        <v>1000450</v>
      </c>
      <c r="C18" s="19">
        <f>_xlfn.XLOOKUP(A18,'Target ปี 2026'!B:B,'Target ปี 2026'!C:C,0,0)</f>
        <v>935000</v>
      </c>
      <c r="D18" s="19">
        <f t="shared" si="78"/>
        <v>31166.666666666668</v>
      </c>
      <c r="E18" s="119">
        <f>_xlfn.XLOOKUP(A18,ยอดขายปัจจุบัน!B:B,ยอดขายปัจจุบัน!D:D,0,0)</f>
        <v>406854</v>
      </c>
      <c r="F18" s="119">
        <f t="shared" si="79"/>
        <v>380237.38317757007</v>
      </c>
      <c r="G18" s="119">
        <f>_xlfn.XLOOKUP(A18,ยอดขายปัจจุบัน!B:B,ยอดขายปัจจุบัน!C:C,0,0)</f>
        <v>889</v>
      </c>
      <c r="H18" s="120">
        <f t="shared" si="80"/>
        <v>457.65354330708664</v>
      </c>
      <c r="I18" s="20">
        <v>433</v>
      </c>
      <c r="J18" s="21">
        <f t="shared" si="81"/>
        <v>5.3869447025222852E-2</v>
      </c>
      <c r="K18" s="22">
        <f t="shared" si="44"/>
        <v>-27797.157894736843</v>
      </c>
      <c r="L18" s="71">
        <f t="shared" si="5"/>
        <v>0.40667099805087709</v>
      </c>
      <c r="M18" s="67"/>
      <c r="N18" s="24">
        <f t="shared" si="82"/>
        <v>554762.61682242993</v>
      </c>
      <c r="O18" s="23">
        <f t="shared" si="46"/>
        <v>29198.032464338419</v>
      </c>
      <c r="P18" s="24">
        <f t="shared" si="47"/>
        <v>29198.032464338419</v>
      </c>
      <c r="Q18" s="24">
        <f t="shared" si="48"/>
        <v>33904.5</v>
      </c>
      <c r="R18" s="24">
        <f t="shared" si="83"/>
        <v>745899</v>
      </c>
      <c r="S18" s="25">
        <f t="shared" si="84"/>
        <v>0.79775294117647055</v>
      </c>
      <c r="T18" s="26">
        <f t="shared" si="85"/>
        <v>610238.87850467302</v>
      </c>
      <c r="U18" s="27">
        <f t="shared" si="52"/>
        <v>32117.835710772266</v>
      </c>
      <c r="V18" s="27">
        <f t="shared" si="86"/>
        <v>665715.14018691587</v>
      </c>
      <c r="W18" s="27">
        <f t="shared" si="54"/>
        <v>35037.638957206102</v>
      </c>
      <c r="X18" s="28">
        <f t="shared" si="55"/>
        <v>5.2573915209822172E-2</v>
      </c>
      <c r="Y18" s="28" t="e">
        <f t="shared" si="56"/>
        <v>#DIV/0!</v>
      </c>
      <c r="Z18" s="29">
        <f>_xlfn.XLOOKUP(A18,ยอดขายปีที่แล้ว!B:B,ยอดขายปีที่แล้ว!D:D,0,0)</f>
        <v>0</v>
      </c>
      <c r="AA18" s="30">
        <f t="shared" si="57"/>
        <v>0</v>
      </c>
      <c r="AB18" s="119">
        <f t="shared" si="87"/>
        <v>380237.38317757007</v>
      </c>
      <c r="AC18" s="34">
        <f t="shared" si="88"/>
        <v>380237.38317757007</v>
      </c>
      <c r="AD18" s="72" t="e">
        <f t="shared" si="89"/>
        <v>#DIV/0!</v>
      </c>
      <c r="AE18" s="29">
        <f>_xlfn.XLOOKUP(A18,ยอดขายเดือนที่เแล้ว!B:B,ยอดขายเดือนที่เแล้ว!D:D,0,0)</f>
        <v>313511</v>
      </c>
      <c r="AF18" s="26">
        <f t="shared" si="90"/>
        <v>293000.93457943923</v>
      </c>
      <c r="AG18" s="119">
        <f t="shared" si="91"/>
        <v>380237.38317757007</v>
      </c>
      <c r="AH18" s="109">
        <f t="shared" si="31"/>
        <v>87236.448598130839</v>
      </c>
      <c r="AI18" s="110">
        <f t="shared" si="32"/>
        <v>0.29773436976693002</v>
      </c>
      <c r="AJ18" s="30">
        <v>203008</v>
      </c>
      <c r="AK18" s="119">
        <v>212591</v>
      </c>
      <c r="AL18" s="30"/>
      <c r="AM18" s="111"/>
      <c r="AN18" s="116"/>
      <c r="AO18" s="117">
        <f t="shared" si="33"/>
        <v>9583</v>
      </c>
      <c r="AP18" s="118">
        <f t="shared" si="34"/>
        <v>4.7205036254728876E-2</v>
      </c>
      <c r="AQ18" s="99" t="s">
        <v>257</v>
      </c>
      <c r="AR18" s="32"/>
      <c r="AS18" s="9" t="str">
        <f t="shared" si="63"/>
        <v>Yuedpao สาขา Sermthai Complex มหาสารคาม</v>
      </c>
      <c r="AT18" s="10">
        <f t="shared" si="64"/>
        <v>935000</v>
      </c>
      <c r="AU18" s="10">
        <f t="shared" si="65"/>
        <v>380237.38317757007</v>
      </c>
      <c r="AV18" s="11">
        <f t="shared" si="66"/>
        <v>31686.448598130839</v>
      </c>
      <c r="AW18" s="12">
        <f t="shared" si="67"/>
        <v>982279.90654205601</v>
      </c>
      <c r="AX18" s="94">
        <f t="shared" si="68"/>
        <v>1.0505667449647658</v>
      </c>
      <c r="AY18" s="88">
        <f t="shared" si="28"/>
        <v>47529.672897196258</v>
      </c>
      <c r="AZ18" s="89">
        <f t="shared" si="69"/>
        <v>1283301.1682242989</v>
      </c>
      <c r="BA18" s="68">
        <f t="shared" si="30"/>
        <v>1.3725146184217101</v>
      </c>
      <c r="BB18" s="32"/>
      <c r="BC18" s="32"/>
      <c r="BD18" s="32"/>
      <c r="BE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</row>
    <row r="19" spans="1:73" s="33" customFormat="1" ht="69" customHeight="1" x14ac:dyDescent="0.15">
      <c r="A19" s="121" t="s">
        <v>200</v>
      </c>
      <c r="B19" s="122"/>
      <c r="C19" s="123">
        <f>SUM(C3:C18)</f>
        <v>17875000</v>
      </c>
      <c r="D19" s="123">
        <f>SUM(D3:D18)</f>
        <v>595833.33333333337</v>
      </c>
      <c r="E19" s="123">
        <f>SUM(E3:E18)</f>
        <v>7738704.6100000003</v>
      </c>
      <c r="F19" s="123">
        <f>SUM(F3:F18)</f>
        <v>7232434.2149532698</v>
      </c>
      <c r="G19" s="123">
        <f>SUM(G3:G18)</f>
        <v>15927</v>
      </c>
      <c r="H19" s="124">
        <v>427</v>
      </c>
      <c r="I19" s="123">
        <v>423</v>
      </c>
      <c r="J19" s="134">
        <f t="shared" si="43"/>
        <v>9.3676814988290398E-3</v>
      </c>
      <c r="K19" s="125">
        <f t="shared" si="44"/>
        <v>-533489.23105263163</v>
      </c>
      <c r="L19" s="126">
        <f t="shared" ref="L19" si="92">F19/C19</f>
        <v>0.40461170433305005</v>
      </c>
      <c r="M19" s="126"/>
      <c r="N19" s="127">
        <f>SUM(N3:N15)</f>
        <v>9133843.3551401887</v>
      </c>
      <c r="O19" s="123">
        <f>SUM(O3:O14)</f>
        <v>450040.67879980331</v>
      </c>
      <c r="P19" s="123">
        <f t="shared" si="47"/>
        <v>480728.59763895732</v>
      </c>
      <c r="Q19" s="123">
        <f t="shared" ref="Q19:W19" si="93">SUM(Q3:Q9)</f>
        <v>289429.09999999998</v>
      </c>
      <c r="R19" s="123">
        <f t="shared" si="93"/>
        <v>6367440.2000000011</v>
      </c>
      <c r="S19" s="123">
        <f t="shared" si="93"/>
        <v>5.5698725391830397</v>
      </c>
      <c r="T19" s="123">
        <f t="shared" si="93"/>
        <v>5322972.7850467293</v>
      </c>
      <c r="U19" s="123">
        <f t="shared" si="93"/>
        <v>280156.46237088047</v>
      </c>
      <c r="V19" s="123">
        <f t="shared" si="93"/>
        <v>5806879.4018691583</v>
      </c>
      <c r="W19" s="123">
        <f t="shared" si="93"/>
        <v>305625.23167732416</v>
      </c>
      <c r="X19" s="128">
        <f>E19/$E$19</f>
        <v>1</v>
      </c>
      <c r="Y19" s="123" t="e">
        <f>SUM(Y3:Y9)</f>
        <v>#DIV/0!</v>
      </c>
      <c r="Z19" s="123">
        <f>SUM(Z3:Z9)</f>
        <v>2548457.2000000002</v>
      </c>
      <c r="AA19" s="123">
        <f>SUM(AA3:AA9)</f>
        <v>2381735.7009345796</v>
      </c>
      <c r="AB19" s="123">
        <f>SUM(AB3:AB9)</f>
        <v>3245933.8317757007</v>
      </c>
      <c r="AC19" s="127">
        <f>AB19-AA19</f>
        <v>864198.13084112108</v>
      </c>
      <c r="AD19" s="125">
        <f>(AB19-AA19)/AA19</f>
        <v>0.36284384136410042</v>
      </c>
      <c r="AE19" s="123">
        <f>SUM(AE3:AE9)</f>
        <v>2864389.3</v>
      </c>
      <c r="AF19" s="123">
        <f>SUM(AF3:AF9)</f>
        <v>2676999.3457943927</v>
      </c>
      <c r="AG19" s="123">
        <f>SUM(AG3:AG9)</f>
        <v>3245933.8317757007</v>
      </c>
      <c r="AH19" s="129">
        <f t="shared" si="31"/>
        <v>568934.48598130792</v>
      </c>
      <c r="AI19" s="130">
        <f t="shared" si="32"/>
        <v>0.21252694247950146</v>
      </c>
      <c r="AJ19" s="123">
        <f>SUM(AJ3:AJ9)</f>
        <v>1718219.68</v>
      </c>
      <c r="AK19" s="123">
        <f>SUM(AK3:AK9)</f>
        <v>1839149.5</v>
      </c>
      <c r="AL19" s="123">
        <f>SUM(AL3:AL9)</f>
        <v>0</v>
      </c>
      <c r="AM19" s="123">
        <f>SUM(AM3:AM9)</f>
        <v>0</v>
      </c>
      <c r="AN19" s="123">
        <f>SUM(AN3:AN9)</f>
        <v>0</v>
      </c>
      <c r="AO19" s="127">
        <f t="shared" si="33"/>
        <v>120929.82000000007</v>
      </c>
      <c r="AP19" s="131">
        <f t="shared" si="34"/>
        <v>7.0380884008964487E-2</v>
      </c>
      <c r="AQ19" s="132"/>
      <c r="AR19" s="32"/>
      <c r="AS19" s="8" t="s">
        <v>213</v>
      </c>
      <c r="AT19" s="13">
        <f>SUM(AT3:AT18)</f>
        <v>17875000</v>
      </c>
      <c r="AU19" s="13">
        <f>SUM(AU3:AU18)</f>
        <v>7232434.2149532698</v>
      </c>
      <c r="AV19" s="14">
        <f t="shared" si="66"/>
        <v>602702.85124610586</v>
      </c>
      <c r="AW19" s="15">
        <f t="shared" si="67"/>
        <v>18683788.38862928</v>
      </c>
      <c r="AX19" s="93">
        <f>AW19/AT19</f>
        <v>1.0452469028603792</v>
      </c>
      <c r="AY19" s="90">
        <f>(AV19*50%)+AV19</f>
        <v>904054.27686915873</v>
      </c>
      <c r="AZ19" s="91">
        <f t="shared" si="69"/>
        <v>24409465.475467287</v>
      </c>
      <c r="BA19" s="92">
        <f t="shared" si="30"/>
        <v>1.3655645021240441</v>
      </c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</row>
    <row r="20" spans="1:73" s="32" customFormat="1" ht="69" customHeight="1" x14ac:dyDescent="0.15">
      <c r="A20" s="121" t="s">
        <v>206</v>
      </c>
      <c r="B20" s="133">
        <f>SUM(B3:B14)</f>
        <v>15242150</v>
      </c>
      <c r="C20" s="123">
        <f>SUM(C3:C18)</f>
        <v>17875000</v>
      </c>
      <c r="D20" s="133">
        <f>SUM(D3:D18)</f>
        <v>595833.33333333337</v>
      </c>
      <c r="E20" s="123">
        <f>SUM(E3:E18)</f>
        <v>7738704.6100000003</v>
      </c>
      <c r="F20" s="123">
        <f>SUM(F3:F18)</f>
        <v>7232434.2149532698</v>
      </c>
      <c r="G20" s="133">
        <f>SUM(G3:G18)</f>
        <v>15927</v>
      </c>
      <c r="H20" s="124">
        <v>427</v>
      </c>
      <c r="I20" s="124">
        <v>423</v>
      </c>
      <c r="J20" s="134">
        <f t="shared" si="43"/>
        <v>9.3676814988290398E-3</v>
      </c>
      <c r="K20" s="135">
        <f t="shared" si="44"/>
        <v>-533489.23105263163</v>
      </c>
      <c r="L20" s="126">
        <f>F20/C20</f>
        <v>0.40461170433305005</v>
      </c>
      <c r="M20" s="126"/>
      <c r="N20" s="136">
        <f>SUM(N3:N15)</f>
        <v>9133843.3551401887</v>
      </c>
      <c r="O20" s="137">
        <f>N20/$E$35</f>
        <v>480728.59763895732</v>
      </c>
      <c r="P20" s="123">
        <f t="shared" si="47"/>
        <v>480728.59763895732</v>
      </c>
      <c r="Q20" s="127">
        <f>E20/$D$35</f>
        <v>644892.0508333334</v>
      </c>
      <c r="R20" s="127">
        <f>Q20*22</f>
        <v>14187625.118333334</v>
      </c>
      <c r="S20" s="125">
        <f>R20/C20</f>
        <v>0.7937132933333334</v>
      </c>
      <c r="T20" s="123">
        <f>SUM(T3:T14)</f>
        <v>9405850.1869158875</v>
      </c>
      <c r="U20" s="123">
        <f>T20/$E$35</f>
        <v>495044.74667978357</v>
      </c>
      <c r="V20" s="123">
        <f>SUM(V3:V14)</f>
        <v>10260927.476635512</v>
      </c>
      <c r="W20" s="123">
        <f>SUM(V20/$E$35)</f>
        <v>540048.81455976376</v>
      </c>
      <c r="X20" s="128">
        <f>E20/$E$20</f>
        <v>1</v>
      </c>
      <c r="Y20" s="138" t="e">
        <f>E20/H35</f>
        <v>#DIV/0!</v>
      </c>
      <c r="Z20" s="123">
        <f>SUM(Z2:Z19)</f>
        <v>6702184.4000000004</v>
      </c>
      <c r="AA20" s="123">
        <f>SUM(AA3:AA18)</f>
        <v>3880097.3831775701</v>
      </c>
      <c r="AB20" s="123">
        <f>SUM(AB3:AB18)</f>
        <v>7232434.2149532698</v>
      </c>
      <c r="AC20" s="123">
        <f>SUM(AC3:AC18)</f>
        <v>3352336.8317757007</v>
      </c>
      <c r="AD20" s="125">
        <f>(AB20-AA20)/AA20</f>
        <v>0.86398265319576451</v>
      </c>
      <c r="AE20" s="123">
        <f>SUM(AE3:AE18)</f>
        <v>6267895.2999999998</v>
      </c>
      <c r="AF20" s="123">
        <f>SUM(AF3:AF18)</f>
        <v>5857846.0747663556</v>
      </c>
      <c r="AG20" s="123">
        <f>SUM(AG3:AG18)</f>
        <v>7232434.2149532698</v>
      </c>
      <c r="AH20" s="123">
        <f>SUM(AH3:AH18)</f>
        <v>1374588.1401869156</v>
      </c>
      <c r="AI20" s="130">
        <f t="shared" si="32"/>
        <v>0.234657606676997</v>
      </c>
      <c r="AJ20" s="123">
        <f>SUM(AJ3:AJ18)</f>
        <v>3760454.6799999997</v>
      </c>
      <c r="AK20" s="123">
        <f>SUM(AK3:AK18)</f>
        <v>4065929.61</v>
      </c>
      <c r="AL20" s="123">
        <f>SUM(AL3:AL18)</f>
        <v>0</v>
      </c>
      <c r="AM20" s="123">
        <f>SUM(AM3:AM18)</f>
        <v>0</v>
      </c>
      <c r="AN20" s="123">
        <f>SUM(AN3:AN18)</f>
        <v>0</v>
      </c>
      <c r="AO20" s="127">
        <f t="shared" si="33"/>
        <v>305474.93000000017</v>
      </c>
      <c r="AP20" s="131">
        <f t="shared" si="34"/>
        <v>8.1233509241494223E-2</v>
      </c>
      <c r="AQ20" s="132"/>
      <c r="AW20" s="102">
        <f>(AW19*7)/100+AW19</f>
        <v>19991653.575833328</v>
      </c>
    </row>
    <row r="21" spans="1:73" x14ac:dyDescent="0.2">
      <c r="C21" s="37"/>
      <c r="I21" s="38"/>
    </row>
    <row r="22" spans="1:73" ht="32" customHeight="1" x14ac:dyDescent="0.2">
      <c r="C22" s="37"/>
      <c r="E22" s="103">
        <f>SUM(E20-C20)</f>
        <v>-10136295.390000001</v>
      </c>
      <c r="F22" s="103">
        <f>SUM(F20-C20)</f>
        <v>-10642565.78504673</v>
      </c>
      <c r="G22" s="105"/>
      <c r="H22" s="105"/>
      <c r="I22" s="105"/>
      <c r="J22" s="105"/>
      <c r="K22" s="106" t="s">
        <v>24</v>
      </c>
      <c r="L22" s="104">
        <f>SUM(L20-100%)</f>
        <v>-0.59538829566694995</v>
      </c>
      <c r="M22" s="42"/>
    </row>
    <row r="23" spans="1:73" x14ac:dyDescent="0.2">
      <c r="E23" s="40"/>
      <c r="F23" s="40"/>
      <c r="K23" s="41"/>
      <c r="L23" s="42"/>
      <c r="M23" s="42"/>
    </row>
    <row r="24" spans="1:73" x14ac:dyDescent="0.2">
      <c r="E24" s="40"/>
      <c r="F24" s="40"/>
      <c r="K24" s="41"/>
      <c r="L24" s="42"/>
      <c r="M24" s="42"/>
      <c r="Z24" s="39"/>
      <c r="AA24" s="39"/>
      <c r="AB24" s="39"/>
    </row>
    <row r="25" spans="1:73" ht="35" customHeight="1" x14ac:dyDescent="0.2">
      <c r="C25" s="113">
        <f>C20-F20</f>
        <v>10642565.78504673</v>
      </c>
      <c r="E25" s="40"/>
      <c r="F25" s="40"/>
      <c r="I25" s="36">
        <f>SUM(I3:I14)</f>
        <v>4711</v>
      </c>
      <c r="J25" s="36">
        <f>I25/15</f>
        <v>314.06666666666666</v>
      </c>
      <c r="K25" s="41"/>
      <c r="L25" s="42"/>
      <c r="M25" s="42"/>
      <c r="Z25" s="43"/>
      <c r="AA25" s="43"/>
      <c r="AB25" s="43"/>
    </row>
    <row r="26" spans="1:73" ht="8" customHeight="1" x14ac:dyDescent="0.2">
      <c r="E26" s="40"/>
      <c r="F26" s="40"/>
      <c r="K26" s="41"/>
      <c r="L26" s="42"/>
      <c r="M26" s="42"/>
    </row>
    <row r="27" spans="1:73" x14ac:dyDescent="0.2">
      <c r="C27" s="95"/>
      <c r="E27" s="40"/>
      <c r="F27" s="44"/>
      <c r="G27" s="38"/>
      <c r="K27" s="41"/>
      <c r="L27" s="45"/>
      <c r="M27" s="45"/>
      <c r="N27" s="46"/>
      <c r="O27" s="46"/>
      <c r="P27" s="46"/>
      <c r="Q27" s="46"/>
      <c r="R27" s="46"/>
      <c r="S27" s="46"/>
      <c r="T27" s="46"/>
      <c r="U27" s="46"/>
      <c r="V27" s="46"/>
      <c r="W27" s="46" t="s">
        <v>2</v>
      </c>
      <c r="X27" s="46"/>
      <c r="Y27" s="46"/>
      <c r="Z27" s="47"/>
      <c r="AA27" s="47"/>
      <c r="AB27" s="48"/>
      <c r="AC27" s="49"/>
      <c r="AD27" s="50"/>
      <c r="AE27" s="46"/>
      <c r="AF27" s="46"/>
      <c r="AG27" s="46"/>
      <c r="AH27" s="46"/>
      <c r="AI27" s="46"/>
      <c r="AJ27" s="46"/>
    </row>
    <row r="28" spans="1:73" x14ac:dyDescent="0.2">
      <c r="E28" s="40"/>
      <c r="F28" s="40"/>
      <c r="G28" s="38"/>
      <c r="K28" s="41"/>
      <c r="L28" s="45"/>
      <c r="M28" s="45"/>
      <c r="N28" s="46"/>
      <c r="O28" s="46"/>
      <c r="P28" s="46"/>
      <c r="Q28" s="46"/>
      <c r="R28" s="46"/>
      <c r="S28" s="46"/>
      <c r="T28" s="46"/>
      <c r="U28" s="46"/>
      <c r="V28" s="46"/>
      <c r="W28" s="46" t="s">
        <v>1</v>
      </c>
      <c r="X28" s="46"/>
      <c r="Y28" s="46"/>
      <c r="Z28" s="47"/>
      <c r="AA28" s="47"/>
      <c r="AB28" s="48"/>
      <c r="AC28" s="49"/>
      <c r="AD28" s="50"/>
      <c r="AE28" s="46"/>
      <c r="AF28" s="46"/>
      <c r="AG28" s="46"/>
      <c r="AH28" s="46"/>
      <c r="AI28" s="46"/>
      <c r="AJ28" s="46"/>
    </row>
    <row r="29" spans="1:73" x14ac:dyDescent="0.2">
      <c r="E29" s="40"/>
      <c r="F29" s="40"/>
      <c r="K29" s="41"/>
      <c r="L29" s="45"/>
      <c r="M29" s="45"/>
      <c r="N29" s="46"/>
      <c r="O29" s="46"/>
      <c r="P29" s="46"/>
      <c r="Q29" s="46"/>
      <c r="R29" s="46"/>
      <c r="S29" s="46"/>
      <c r="T29" s="46"/>
      <c r="U29" s="46"/>
      <c r="V29" s="46"/>
      <c r="W29" s="46" t="s">
        <v>38</v>
      </c>
      <c r="X29" s="46"/>
      <c r="Y29" s="46"/>
      <c r="Z29" s="47"/>
      <c r="AA29" s="47"/>
      <c r="AB29" s="48"/>
      <c r="AC29" s="49"/>
      <c r="AD29" s="50"/>
      <c r="AE29" s="46"/>
      <c r="AF29" s="46"/>
      <c r="AG29" s="46"/>
      <c r="AH29" s="46"/>
      <c r="AI29" s="46"/>
      <c r="AJ29" s="46"/>
    </row>
    <row r="30" spans="1:73" x14ac:dyDescent="0.2">
      <c r="E30" s="40"/>
      <c r="F30" s="40"/>
      <c r="K30" s="41"/>
      <c r="L30" s="45"/>
      <c r="M30" s="45"/>
      <c r="N30" s="46"/>
      <c r="O30" s="46"/>
      <c r="P30" s="46"/>
      <c r="Q30" s="46"/>
      <c r="R30" s="46"/>
      <c r="S30" s="46"/>
      <c r="T30" s="46"/>
      <c r="U30" s="46"/>
      <c r="V30" s="46"/>
      <c r="W30" s="46" t="s">
        <v>142</v>
      </c>
      <c r="X30" s="46"/>
      <c r="Y30" s="46"/>
      <c r="Z30" s="47"/>
      <c r="AA30" s="47"/>
      <c r="AB30" s="48"/>
      <c r="AC30" s="51"/>
      <c r="AD30" s="50"/>
      <c r="AE30" s="46"/>
      <c r="AF30" s="46"/>
      <c r="AG30" s="46"/>
      <c r="AH30" s="46"/>
      <c r="AI30" s="46"/>
      <c r="AJ30" s="46"/>
    </row>
    <row r="31" spans="1:73" x14ac:dyDescent="0.2">
      <c r="E31" s="52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 t="s">
        <v>39</v>
      </c>
      <c r="X31" s="46"/>
      <c r="Y31" s="46"/>
      <c r="Z31" s="47"/>
      <c r="AA31" s="47"/>
      <c r="AB31" s="48"/>
      <c r="AC31" s="49"/>
      <c r="AD31" s="50"/>
      <c r="AE31" s="46"/>
      <c r="AF31" s="46"/>
      <c r="AG31" s="46"/>
      <c r="AH31" s="46"/>
      <c r="AI31" s="46"/>
      <c r="AJ31" s="46"/>
    </row>
    <row r="32" spans="1:73" x14ac:dyDescent="0.2"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 t="s">
        <v>4</v>
      </c>
      <c r="X32" s="46"/>
      <c r="Y32" s="46"/>
      <c r="Z32" s="47"/>
      <c r="AA32" s="47"/>
      <c r="AB32" s="48"/>
      <c r="AC32" s="51"/>
      <c r="AD32" s="50"/>
      <c r="AE32" s="46"/>
      <c r="AF32" s="46"/>
      <c r="AG32" s="46"/>
      <c r="AH32" s="46"/>
      <c r="AI32" s="46"/>
      <c r="AJ32" s="46"/>
    </row>
    <row r="33" spans="1:36" x14ac:dyDescent="0.2">
      <c r="D33" s="156" t="s">
        <v>31</v>
      </c>
      <c r="E33" s="156"/>
      <c r="H33" s="156" t="s">
        <v>31</v>
      </c>
      <c r="I33" s="15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 t="s">
        <v>37</v>
      </c>
      <c r="X33" s="46"/>
      <c r="Y33" s="46"/>
      <c r="Z33" s="47"/>
      <c r="AA33" s="47"/>
      <c r="AB33" s="48"/>
      <c r="AC33" s="49"/>
      <c r="AD33" s="50"/>
      <c r="AE33" s="46"/>
      <c r="AF33" s="46"/>
      <c r="AG33" s="46"/>
      <c r="AH33" s="46"/>
      <c r="AI33" s="46"/>
      <c r="AJ33" s="46"/>
    </row>
    <row r="34" spans="1:36" x14ac:dyDescent="0.2">
      <c r="D34" s="53" t="s">
        <v>27</v>
      </c>
      <c r="E34" s="53" t="s">
        <v>26</v>
      </c>
      <c r="H34" s="166" t="s">
        <v>30</v>
      </c>
      <c r="I34" s="16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 t="s">
        <v>5</v>
      </c>
      <c r="X34" s="46"/>
      <c r="Y34" s="46"/>
      <c r="Z34" s="47"/>
      <c r="AA34" s="47"/>
      <c r="AB34" s="48"/>
      <c r="AC34" s="51"/>
      <c r="AD34" s="50"/>
      <c r="AE34" s="46"/>
      <c r="AF34" s="46"/>
      <c r="AG34" s="46"/>
      <c r="AH34" s="46"/>
      <c r="AI34" s="46"/>
      <c r="AJ34" s="46"/>
    </row>
    <row r="35" spans="1:36" ht="40" customHeight="1" x14ac:dyDescent="0.2">
      <c r="D35" s="54">
        <v>12</v>
      </c>
      <c r="E35" s="54">
        <f>31-D35</f>
        <v>19</v>
      </c>
      <c r="F35" s="55"/>
      <c r="H35" s="165"/>
      <c r="I35" s="165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 t="s">
        <v>36</v>
      </c>
      <c r="X35" s="46"/>
      <c r="Y35" s="46"/>
      <c r="Z35" s="47"/>
      <c r="AA35" s="47"/>
      <c r="AB35" s="48"/>
      <c r="AC35" s="49"/>
      <c r="AD35" s="50"/>
      <c r="AE35" s="46"/>
      <c r="AF35" s="46"/>
      <c r="AG35" s="46"/>
      <c r="AH35" s="46"/>
      <c r="AI35" s="46"/>
      <c r="AJ35" s="46"/>
    </row>
    <row r="36" spans="1:36" x14ac:dyDescent="0.2"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 t="s">
        <v>40</v>
      </c>
      <c r="X36" s="46"/>
      <c r="Y36" s="46"/>
      <c r="Z36" s="47"/>
      <c r="AA36" s="47"/>
      <c r="AB36" s="48"/>
      <c r="AC36" s="49"/>
      <c r="AD36" s="50"/>
      <c r="AE36" s="46"/>
      <c r="AF36" s="46"/>
      <c r="AG36" s="46"/>
      <c r="AH36" s="46"/>
      <c r="AI36" s="46"/>
      <c r="AJ36" s="46"/>
    </row>
    <row r="37" spans="1:36" x14ac:dyDescent="0.2"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 t="s">
        <v>3</v>
      </c>
      <c r="X37" s="46"/>
      <c r="Y37" s="46"/>
      <c r="Z37" s="47"/>
      <c r="AA37" s="47"/>
      <c r="AB37" s="48"/>
      <c r="AC37" s="51"/>
      <c r="AD37" s="50"/>
      <c r="AE37" s="46"/>
      <c r="AF37" s="46"/>
      <c r="AG37" s="46"/>
      <c r="AH37" s="46"/>
      <c r="AI37" s="46"/>
      <c r="AJ37" s="46"/>
    </row>
    <row r="38" spans="1:36" x14ac:dyDescent="0.2"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 t="s">
        <v>41</v>
      </c>
      <c r="X38" s="46"/>
      <c r="Y38" s="46"/>
      <c r="Z38" s="47"/>
      <c r="AA38" s="47"/>
      <c r="AB38" s="48"/>
      <c r="AC38" s="51"/>
      <c r="AD38" s="50"/>
      <c r="AE38" s="46"/>
      <c r="AF38" s="46"/>
      <c r="AG38" s="46"/>
      <c r="AH38" s="46"/>
      <c r="AI38" s="46"/>
      <c r="AJ38" s="46"/>
    </row>
    <row r="39" spans="1:36" x14ac:dyDescent="0.2">
      <c r="E39" s="39"/>
      <c r="F39" s="39"/>
      <c r="G39" s="39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 t="s">
        <v>6</v>
      </c>
      <c r="X39" s="46"/>
      <c r="Y39" s="46"/>
      <c r="Z39" s="47"/>
      <c r="AA39" s="47"/>
      <c r="AB39" s="48"/>
      <c r="AC39" s="51"/>
      <c r="AD39" s="50"/>
      <c r="AE39" s="46"/>
      <c r="AF39" s="46"/>
      <c r="AG39" s="46"/>
      <c r="AH39" s="46"/>
      <c r="AI39" s="46"/>
      <c r="AJ39" s="46"/>
    </row>
    <row r="40" spans="1:36" x14ac:dyDescent="0.2">
      <c r="E40" s="56"/>
      <c r="F40" s="56"/>
      <c r="G40" s="57"/>
      <c r="H40" s="58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 t="s">
        <v>7</v>
      </c>
      <c r="X40" s="46"/>
      <c r="Y40" s="46"/>
      <c r="Z40" s="47"/>
      <c r="AA40" s="47"/>
      <c r="AB40" s="48"/>
      <c r="AC40" s="51"/>
      <c r="AD40" s="50"/>
      <c r="AE40" s="46"/>
      <c r="AF40" s="46"/>
      <c r="AG40" s="46"/>
      <c r="AH40" s="46"/>
      <c r="AI40" s="46"/>
      <c r="AJ40" s="46"/>
    </row>
    <row r="41" spans="1:36" x14ac:dyDescent="0.2">
      <c r="E41" s="56"/>
      <c r="F41" s="56"/>
      <c r="G41" s="57"/>
      <c r="H41" s="58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 t="s">
        <v>165</v>
      </c>
      <c r="X41" s="46"/>
      <c r="Y41" s="46"/>
      <c r="Z41" s="47"/>
      <c r="AA41" s="47"/>
      <c r="AB41" s="48"/>
      <c r="AC41" s="51"/>
      <c r="AD41" s="50"/>
      <c r="AE41" s="46"/>
      <c r="AF41" s="46"/>
      <c r="AG41" s="46"/>
      <c r="AH41" s="46"/>
      <c r="AI41" s="46"/>
      <c r="AJ41" s="46"/>
    </row>
    <row r="42" spans="1:36" x14ac:dyDescent="0.2">
      <c r="A42" s="59" t="s">
        <v>0</v>
      </c>
      <c r="B42" s="59"/>
      <c r="C42" s="59" t="s">
        <v>35</v>
      </c>
      <c r="D42" s="59" t="s">
        <v>171</v>
      </c>
      <c r="E42" s="56"/>
      <c r="F42" s="56"/>
      <c r="G42" s="57"/>
      <c r="H42" s="58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</row>
    <row r="43" spans="1:36" x14ac:dyDescent="0.2">
      <c r="A43" s="60" t="s">
        <v>102</v>
      </c>
      <c r="B43" s="61"/>
      <c r="C43" s="19">
        <f t="shared" ref="C43:C49" si="94">C3</f>
        <v>1210000</v>
      </c>
      <c r="D43" s="62">
        <f t="shared" ref="D43:D49" si="95">E3</f>
        <v>505586.5</v>
      </c>
      <c r="E43" s="56"/>
      <c r="F43" s="56"/>
      <c r="G43" s="57"/>
      <c r="H43" s="58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</row>
    <row r="44" spans="1:36" x14ac:dyDescent="0.2">
      <c r="A44" s="60" t="s">
        <v>108</v>
      </c>
      <c r="B44" s="61"/>
      <c r="C44" s="19">
        <f t="shared" si="94"/>
        <v>1100000</v>
      </c>
      <c r="D44" s="62">
        <f t="shared" si="95"/>
        <v>506978</v>
      </c>
      <c r="E44" s="56"/>
      <c r="F44" s="56"/>
      <c r="G44" s="57"/>
      <c r="H44" s="58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</row>
    <row r="45" spans="1:36" x14ac:dyDescent="0.2">
      <c r="A45" s="60" t="s">
        <v>1</v>
      </c>
      <c r="B45" s="61"/>
      <c r="C45" s="19">
        <f t="shared" si="94"/>
        <v>1100000</v>
      </c>
      <c r="D45" s="62">
        <f t="shared" si="95"/>
        <v>512683.7</v>
      </c>
      <c r="E45" s="56"/>
      <c r="F45" s="56"/>
      <c r="G45" s="63"/>
      <c r="H45" s="58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</row>
    <row r="46" spans="1:36" x14ac:dyDescent="0.2">
      <c r="A46" s="60" t="s">
        <v>77</v>
      </c>
      <c r="B46" s="61"/>
      <c r="C46" s="19">
        <f t="shared" si="94"/>
        <v>1650000</v>
      </c>
      <c r="D46" s="62">
        <f t="shared" si="95"/>
        <v>679423</v>
      </c>
      <c r="E46" s="56"/>
      <c r="F46" s="56"/>
      <c r="G46" s="63"/>
      <c r="H46" s="58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</row>
    <row r="47" spans="1:36" x14ac:dyDescent="0.2">
      <c r="A47" s="60" t="s">
        <v>128</v>
      </c>
      <c r="B47" s="61"/>
      <c r="C47" s="19">
        <f t="shared" si="94"/>
        <v>715000</v>
      </c>
      <c r="D47" s="62">
        <f t="shared" si="95"/>
        <v>293642</v>
      </c>
      <c r="E47" s="56"/>
      <c r="F47" s="56"/>
      <c r="G47" s="57"/>
      <c r="H47" s="58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</row>
    <row r="48" spans="1:36" x14ac:dyDescent="0.2">
      <c r="A48" s="60" t="s">
        <v>165</v>
      </c>
      <c r="B48" s="61"/>
      <c r="C48" s="19">
        <f t="shared" si="94"/>
        <v>770000</v>
      </c>
      <c r="D48" s="62">
        <f t="shared" si="95"/>
        <v>366269</v>
      </c>
      <c r="E48" s="56"/>
      <c r="F48" s="56"/>
      <c r="G48" s="63"/>
      <c r="H48" s="58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</row>
    <row r="49" spans="1:36" x14ac:dyDescent="0.2">
      <c r="A49" s="64" t="s">
        <v>187</v>
      </c>
      <c r="B49" s="61"/>
      <c r="C49" s="19">
        <f t="shared" si="94"/>
        <v>1540000</v>
      </c>
      <c r="D49" s="62">
        <f t="shared" si="95"/>
        <v>608567</v>
      </c>
      <c r="E49" s="56"/>
      <c r="F49" s="56"/>
      <c r="G49" s="63"/>
      <c r="H49" s="58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</row>
    <row r="50" spans="1:36" x14ac:dyDescent="0.2">
      <c r="A50" s="64" t="s">
        <v>49</v>
      </c>
      <c r="B50" s="61"/>
      <c r="C50" s="19">
        <f t="shared" ref="C50:C57" si="96">C11</f>
        <v>2640000</v>
      </c>
      <c r="D50" s="62">
        <f t="shared" ref="D50:D57" si="97">E11</f>
        <v>1165653</v>
      </c>
      <c r="E50" s="56"/>
      <c r="F50" s="56"/>
      <c r="G50" s="63"/>
      <c r="H50" s="58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</row>
    <row r="51" spans="1:36" x14ac:dyDescent="0.2">
      <c r="A51" s="65" t="s">
        <v>51</v>
      </c>
      <c r="B51" s="61"/>
      <c r="C51" s="19">
        <f t="shared" si="96"/>
        <v>990000</v>
      </c>
      <c r="D51" s="62">
        <f t="shared" si="97"/>
        <v>389084.3</v>
      </c>
      <c r="E51" s="56"/>
      <c r="F51" s="56"/>
      <c r="G51" s="63"/>
      <c r="H51" s="58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</row>
    <row r="52" spans="1:36" x14ac:dyDescent="0.2">
      <c r="A52" s="65" t="s">
        <v>81</v>
      </c>
      <c r="B52" s="61"/>
      <c r="C52" s="19">
        <f t="shared" si="96"/>
        <v>2090000</v>
      </c>
      <c r="D52" s="62">
        <f t="shared" si="97"/>
        <v>933072.5</v>
      </c>
      <c r="E52" s="56"/>
      <c r="F52" s="56"/>
      <c r="G52" s="63"/>
      <c r="H52" s="58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</row>
    <row r="53" spans="1:36" x14ac:dyDescent="0.2">
      <c r="A53" s="60" t="s">
        <v>198</v>
      </c>
      <c r="B53" s="61"/>
      <c r="C53" s="19">
        <f t="shared" si="96"/>
        <v>440000</v>
      </c>
      <c r="D53" s="62">
        <f t="shared" si="97"/>
        <v>131864</v>
      </c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</row>
    <row r="54" spans="1:36" x14ac:dyDescent="0.2">
      <c r="A54" s="60" t="s">
        <v>211</v>
      </c>
      <c r="B54" s="61"/>
      <c r="C54" s="19">
        <f t="shared" si="96"/>
        <v>1100000</v>
      </c>
      <c r="D54" s="62">
        <f t="shared" si="97"/>
        <v>553114.61</v>
      </c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</row>
    <row r="55" spans="1:36" x14ac:dyDescent="0.2">
      <c r="A55" s="61" t="s">
        <v>239</v>
      </c>
      <c r="B55" s="61"/>
      <c r="C55" s="19">
        <f t="shared" si="96"/>
        <v>550000</v>
      </c>
      <c r="D55" s="62">
        <f t="shared" si="97"/>
        <v>220050</v>
      </c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</row>
    <row r="56" spans="1:36" x14ac:dyDescent="0.2">
      <c r="A56" s="65" t="s">
        <v>237</v>
      </c>
      <c r="B56" s="61"/>
      <c r="C56" s="19">
        <f t="shared" si="96"/>
        <v>1045000</v>
      </c>
      <c r="D56" s="62">
        <f t="shared" si="97"/>
        <v>465863</v>
      </c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spans="1:36" x14ac:dyDescent="0.2">
      <c r="A57" s="61" t="s">
        <v>246</v>
      </c>
      <c r="B57" s="61"/>
      <c r="C57" s="19">
        <f t="shared" si="96"/>
        <v>935000</v>
      </c>
      <c r="D57" s="62">
        <f t="shared" si="97"/>
        <v>406854</v>
      </c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spans="1:36" x14ac:dyDescent="0.2">
      <c r="A58" s="61"/>
      <c r="B58" s="61"/>
      <c r="C58" s="19"/>
      <c r="D58" s="62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spans="1:36" x14ac:dyDescent="0.2">
      <c r="A59" s="61"/>
      <c r="B59" s="61"/>
      <c r="C59" s="19"/>
      <c r="D59" s="62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spans="1:36" x14ac:dyDescent="0.2">
      <c r="A60" s="61"/>
      <c r="B60" s="61"/>
      <c r="C60" s="61"/>
      <c r="D60" s="61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spans="1:36" x14ac:dyDescent="0.2"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spans="1:36" x14ac:dyDescent="0.2"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spans="1:36" x14ac:dyDescent="0.2"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spans="1:36" x14ac:dyDescent="0.2"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spans="12:36" x14ac:dyDescent="0.2"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spans="12:36" x14ac:dyDescent="0.2"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spans="12:36" x14ac:dyDescent="0.2"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spans="12:36" x14ac:dyDescent="0.2"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spans="12:36" x14ac:dyDescent="0.2"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spans="12:36" x14ac:dyDescent="0.2"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spans="12:36" x14ac:dyDescent="0.2"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spans="12:36" x14ac:dyDescent="0.2"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</sheetData>
  <autoFilter ref="C42:D54" xr:uid="{17E02038-B555-7F4C-A170-734FE1AFA547}"/>
  <mergeCells count="24">
    <mergeCell ref="AY1:BA1"/>
    <mergeCell ref="AT1:AX1"/>
    <mergeCell ref="AS1:AS2"/>
    <mergeCell ref="H35:I35"/>
    <mergeCell ref="H34:I34"/>
    <mergeCell ref="H33:I33"/>
    <mergeCell ref="Z1:AD1"/>
    <mergeCell ref="AE1:AI1"/>
    <mergeCell ref="AJ1:AP1"/>
    <mergeCell ref="AQ1:AQ2"/>
    <mergeCell ref="AC2:AD2"/>
    <mergeCell ref="AH2:AI2"/>
    <mergeCell ref="AO2:AP2"/>
    <mergeCell ref="D33:E33"/>
    <mergeCell ref="Y1:Y2"/>
    <mergeCell ref="J1:J2"/>
    <mergeCell ref="K1:K2"/>
    <mergeCell ref="L1:L2"/>
    <mergeCell ref="X1:X2"/>
    <mergeCell ref="N1:W1"/>
    <mergeCell ref="E1:G1"/>
    <mergeCell ref="H1:H2"/>
    <mergeCell ref="I1:I2"/>
    <mergeCell ref="M1:M2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08E-C5B2-9B43-87A0-51288C7B5FA7}">
  <dimension ref="A1:C991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10.85546875" defaultRowHeight="15" x14ac:dyDescent="0.15"/>
  <cols>
    <col min="1" max="1" width="7.140625" style="70" customWidth="1"/>
    <col min="2" max="2" width="41.140625" style="73" bestFit="1" customWidth="1"/>
    <col min="3" max="3" width="19" style="73" customWidth="1"/>
    <col min="4" max="16384" width="10.85546875" style="73"/>
  </cols>
  <sheetData>
    <row r="1" spans="1:3" s="70" customFormat="1" ht="20" customHeight="1" x14ac:dyDescent="0.15">
      <c r="A1" s="74" t="s">
        <v>34</v>
      </c>
      <c r="B1" s="74" t="s">
        <v>176</v>
      </c>
      <c r="C1" s="74" t="s">
        <v>366</v>
      </c>
    </row>
    <row r="2" spans="1:3" ht="19.5" customHeight="1" x14ac:dyDescent="0.2">
      <c r="A2" s="96">
        <v>1</v>
      </c>
      <c r="B2" s="100" t="s">
        <v>65</v>
      </c>
      <c r="C2" s="108">
        <v>2970000</v>
      </c>
    </row>
    <row r="3" spans="1:3" ht="19.5" customHeight="1" x14ac:dyDescent="0.2">
      <c r="A3" s="96">
        <v>2</v>
      </c>
      <c r="B3" s="100" t="s">
        <v>74</v>
      </c>
      <c r="C3" s="108">
        <v>2640000</v>
      </c>
    </row>
    <row r="4" spans="1:3" ht="19.5" customHeight="1" x14ac:dyDescent="0.2">
      <c r="A4" s="96">
        <v>3</v>
      </c>
      <c r="B4" s="100" t="s">
        <v>49</v>
      </c>
      <c r="C4" s="108">
        <v>2640000</v>
      </c>
    </row>
    <row r="5" spans="1:3" ht="19.5" customHeight="1" x14ac:dyDescent="0.2">
      <c r="A5" s="96">
        <v>4</v>
      </c>
      <c r="B5" s="100" t="s">
        <v>53</v>
      </c>
      <c r="C5" s="108">
        <v>2530000</v>
      </c>
    </row>
    <row r="6" spans="1:3" ht="19.5" customHeight="1" x14ac:dyDescent="0.2">
      <c r="A6" s="96">
        <v>5</v>
      </c>
      <c r="B6" s="100" t="s">
        <v>56</v>
      </c>
      <c r="C6" s="108">
        <v>2585000</v>
      </c>
    </row>
    <row r="7" spans="1:3" ht="19.5" customHeight="1" x14ac:dyDescent="0.2">
      <c r="A7" s="96">
        <v>6</v>
      </c>
      <c r="B7" s="100" t="s">
        <v>2</v>
      </c>
      <c r="C7" s="108">
        <v>2310000</v>
      </c>
    </row>
    <row r="8" spans="1:3" ht="19.5" customHeight="1" x14ac:dyDescent="0.2">
      <c r="A8" s="96">
        <v>7</v>
      </c>
      <c r="B8" s="100" t="s">
        <v>58</v>
      </c>
      <c r="C8" s="108">
        <v>2090000</v>
      </c>
    </row>
    <row r="9" spans="1:3" ht="19.5" customHeight="1" x14ac:dyDescent="0.2">
      <c r="A9" s="96">
        <v>8</v>
      </c>
      <c r="B9" s="100" t="s">
        <v>142</v>
      </c>
      <c r="C9" s="108">
        <v>2090000</v>
      </c>
    </row>
    <row r="10" spans="1:3" ht="19.5" customHeight="1" x14ac:dyDescent="0.2">
      <c r="A10" s="96">
        <v>9</v>
      </c>
      <c r="B10" s="100" t="s">
        <v>81</v>
      </c>
      <c r="C10" s="108">
        <v>2090000</v>
      </c>
    </row>
    <row r="11" spans="1:3" ht="19.5" customHeight="1" x14ac:dyDescent="0.2">
      <c r="A11" s="96">
        <v>10</v>
      </c>
      <c r="B11" s="100" t="s">
        <v>84</v>
      </c>
      <c r="C11" s="108">
        <v>2420000</v>
      </c>
    </row>
    <row r="12" spans="1:3" ht="19.5" customHeight="1" x14ac:dyDescent="0.2">
      <c r="A12" s="96">
        <v>11</v>
      </c>
      <c r="B12" s="100" t="s">
        <v>63</v>
      </c>
      <c r="C12" s="108">
        <v>2035000</v>
      </c>
    </row>
    <row r="13" spans="1:3" ht="19.5" customHeight="1" x14ac:dyDescent="0.2">
      <c r="A13" s="96">
        <v>12</v>
      </c>
      <c r="B13" s="100" t="s">
        <v>71</v>
      </c>
      <c r="C13" s="108">
        <v>1980000</v>
      </c>
    </row>
    <row r="14" spans="1:3" ht="19.5" customHeight="1" x14ac:dyDescent="0.2">
      <c r="A14" s="96">
        <v>13</v>
      </c>
      <c r="B14" s="100" t="s">
        <v>230</v>
      </c>
      <c r="C14" s="108">
        <v>1925000</v>
      </c>
    </row>
    <row r="15" spans="1:3" ht="19.5" customHeight="1" x14ac:dyDescent="0.2">
      <c r="A15" s="96">
        <v>14</v>
      </c>
      <c r="B15" s="100" t="s">
        <v>4</v>
      </c>
      <c r="C15" s="108">
        <v>1925000</v>
      </c>
    </row>
    <row r="16" spans="1:3" ht="19.5" customHeight="1" x14ac:dyDescent="0.2">
      <c r="A16" s="96">
        <v>15</v>
      </c>
      <c r="B16" s="100" t="s">
        <v>67</v>
      </c>
      <c r="C16" s="108">
        <v>1760000</v>
      </c>
    </row>
    <row r="17" spans="1:3" ht="19.5" customHeight="1" x14ac:dyDescent="0.2">
      <c r="A17" s="96">
        <v>16</v>
      </c>
      <c r="B17" s="100" t="s">
        <v>61</v>
      </c>
      <c r="C17" s="108">
        <v>1770000</v>
      </c>
    </row>
    <row r="18" spans="1:3" ht="19.5" customHeight="1" x14ac:dyDescent="0.2">
      <c r="A18" s="96">
        <v>17</v>
      </c>
      <c r="B18" s="100" t="s">
        <v>144</v>
      </c>
      <c r="C18" s="108">
        <v>1650000</v>
      </c>
    </row>
    <row r="19" spans="1:3" ht="19.5" customHeight="1" x14ac:dyDescent="0.2">
      <c r="A19" s="96">
        <v>18</v>
      </c>
      <c r="B19" s="100" t="s">
        <v>77</v>
      </c>
      <c r="C19" s="108">
        <v>1650000</v>
      </c>
    </row>
    <row r="20" spans="1:3" ht="19.5" customHeight="1" x14ac:dyDescent="0.2">
      <c r="A20" s="96">
        <v>19</v>
      </c>
      <c r="B20" s="100" t="s">
        <v>172</v>
      </c>
      <c r="C20" s="108">
        <v>1650000</v>
      </c>
    </row>
    <row r="21" spans="1:3" ht="19.5" customHeight="1" x14ac:dyDescent="0.2">
      <c r="A21" s="96">
        <v>20</v>
      </c>
      <c r="B21" s="100" t="s">
        <v>88</v>
      </c>
      <c r="C21" s="108">
        <v>1650000</v>
      </c>
    </row>
    <row r="22" spans="1:3" ht="19.5" customHeight="1" x14ac:dyDescent="0.2">
      <c r="A22" s="96">
        <v>21</v>
      </c>
      <c r="B22" s="100" t="s">
        <v>187</v>
      </c>
      <c r="C22" s="108">
        <v>1540000</v>
      </c>
    </row>
    <row r="23" spans="1:3" ht="19.5" customHeight="1" x14ac:dyDescent="0.2">
      <c r="A23" s="96">
        <v>22</v>
      </c>
      <c r="B23" s="100" t="s">
        <v>79</v>
      </c>
      <c r="C23" s="108">
        <v>1650000</v>
      </c>
    </row>
    <row r="24" spans="1:3" ht="19.5" customHeight="1" x14ac:dyDescent="0.2">
      <c r="A24" s="96">
        <v>23</v>
      </c>
      <c r="B24" s="100" t="s">
        <v>100</v>
      </c>
      <c r="C24" s="108">
        <v>1485000</v>
      </c>
    </row>
    <row r="25" spans="1:3" ht="19.5" customHeight="1" x14ac:dyDescent="0.2">
      <c r="A25" s="96">
        <v>24</v>
      </c>
      <c r="B25" s="100" t="s">
        <v>262</v>
      </c>
      <c r="C25" s="108">
        <v>1540000</v>
      </c>
    </row>
    <row r="26" spans="1:3" ht="19.5" customHeight="1" x14ac:dyDescent="0.2">
      <c r="A26" s="96">
        <v>25</v>
      </c>
      <c r="B26" s="100" t="s">
        <v>3</v>
      </c>
      <c r="C26" s="108">
        <v>1320000</v>
      </c>
    </row>
    <row r="27" spans="1:3" ht="19.5" customHeight="1" x14ac:dyDescent="0.2">
      <c r="A27" s="96">
        <v>26</v>
      </c>
      <c r="B27" s="100" t="s">
        <v>145</v>
      </c>
      <c r="C27" s="108">
        <v>1320000</v>
      </c>
    </row>
    <row r="28" spans="1:3" ht="19.5" customHeight="1" x14ac:dyDescent="0.2">
      <c r="A28" s="96">
        <v>27</v>
      </c>
      <c r="B28" s="100" t="s">
        <v>210</v>
      </c>
      <c r="C28" s="108">
        <v>1375000</v>
      </c>
    </row>
    <row r="29" spans="1:3" ht="19.5" customHeight="1" x14ac:dyDescent="0.2">
      <c r="A29" s="96">
        <v>28</v>
      </c>
      <c r="B29" s="100" t="s">
        <v>39</v>
      </c>
      <c r="C29" s="108">
        <v>1320000</v>
      </c>
    </row>
    <row r="30" spans="1:3" ht="19.5" customHeight="1" x14ac:dyDescent="0.2">
      <c r="A30" s="96">
        <v>29</v>
      </c>
      <c r="B30" s="100" t="s">
        <v>93</v>
      </c>
      <c r="C30" s="108">
        <v>1430000</v>
      </c>
    </row>
    <row r="31" spans="1:3" ht="19.5" customHeight="1" x14ac:dyDescent="0.2">
      <c r="A31" s="96">
        <v>30</v>
      </c>
      <c r="B31" s="100" t="s">
        <v>113</v>
      </c>
      <c r="C31" s="108">
        <v>1320000</v>
      </c>
    </row>
    <row r="32" spans="1:3" ht="19.5" customHeight="1" x14ac:dyDescent="0.2">
      <c r="A32" s="96">
        <v>31</v>
      </c>
      <c r="B32" s="100" t="s">
        <v>121</v>
      </c>
      <c r="C32" s="108">
        <v>1320000</v>
      </c>
    </row>
    <row r="33" spans="1:3" ht="19.5" customHeight="1" x14ac:dyDescent="0.2">
      <c r="A33" s="96">
        <v>32</v>
      </c>
      <c r="B33" s="100" t="s">
        <v>170</v>
      </c>
      <c r="C33" s="108">
        <v>1320000</v>
      </c>
    </row>
    <row r="34" spans="1:3" ht="19.5" customHeight="1" x14ac:dyDescent="0.2">
      <c r="A34" s="96">
        <v>33</v>
      </c>
      <c r="B34" s="100" t="s">
        <v>229</v>
      </c>
      <c r="C34" s="108">
        <v>1265000</v>
      </c>
    </row>
    <row r="35" spans="1:3" ht="19.5" customHeight="1" x14ac:dyDescent="0.2">
      <c r="A35" s="96">
        <v>34</v>
      </c>
      <c r="B35" s="100" t="s">
        <v>5</v>
      </c>
      <c r="C35" s="108">
        <v>1210000</v>
      </c>
    </row>
    <row r="36" spans="1:3" ht="19.5" customHeight="1" x14ac:dyDescent="0.2">
      <c r="A36" s="96">
        <v>35</v>
      </c>
      <c r="B36" s="100" t="s">
        <v>69</v>
      </c>
      <c r="C36" s="108">
        <v>1320000</v>
      </c>
    </row>
    <row r="37" spans="1:3" ht="19.5" customHeight="1" x14ac:dyDescent="0.2">
      <c r="A37" s="96">
        <v>36</v>
      </c>
      <c r="B37" s="100" t="s">
        <v>91</v>
      </c>
      <c r="C37" s="108">
        <v>1210000</v>
      </c>
    </row>
    <row r="38" spans="1:3" ht="19.5" customHeight="1" x14ac:dyDescent="0.2">
      <c r="A38" s="96">
        <v>37</v>
      </c>
      <c r="B38" s="100" t="s">
        <v>1</v>
      </c>
      <c r="C38" s="108">
        <v>1100000</v>
      </c>
    </row>
    <row r="39" spans="1:3" ht="19.5" customHeight="1" x14ac:dyDescent="0.2">
      <c r="A39" s="96">
        <v>38</v>
      </c>
      <c r="B39" s="100" t="s">
        <v>102</v>
      </c>
      <c r="C39" s="108">
        <v>1210000</v>
      </c>
    </row>
    <row r="40" spans="1:3" ht="19.5" customHeight="1" x14ac:dyDescent="0.2">
      <c r="A40" s="96">
        <v>39</v>
      </c>
      <c r="B40" s="100" t="s">
        <v>211</v>
      </c>
      <c r="C40" s="108">
        <v>1100000</v>
      </c>
    </row>
    <row r="41" spans="1:3" ht="19.5" customHeight="1" x14ac:dyDescent="0.2">
      <c r="A41" s="96">
        <v>40</v>
      </c>
      <c r="B41" s="100" t="s">
        <v>110</v>
      </c>
      <c r="C41" s="108">
        <v>1210000</v>
      </c>
    </row>
    <row r="42" spans="1:3" ht="19.5" customHeight="1" x14ac:dyDescent="0.2">
      <c r="A42" s="96">
        <v>41</v>
      </c>
      <c r="B42" s="100" t="s">
        <v>188</v>
      </c>
      <c r="C42" s="108">
        <v>1210000</v>
      </c>
    </row>
    <row r="43" spans="1:3" ht="19.5" customHeight="1" x14ac:dyDescent="0.2">
      <c r="A43" s="96">
        <v>42</v>
      </c>
      <c r="B43" s="100" t="s">
        <v>108</v>
      </c>
      <c r="C43" s="108">
        <v>1100000</v>
      </c>
    </row>
    <row r="44" spans="1:3" ht="19.5" customHeight="1" x14ac:dyDescent="0.2">
      <c r="A44" s="96">
        <v>43</v>
      </c>
      <c r="B44" s="100" t="s">
        <v>104</v>
      </c>
      <c r="C44" s="108">
        <v>1100000</v>
      </c>
    </row>
    <row r="45" spans="1:3" ht="19.5" customHeight="1" x14ac:dyDescent="0.2">
      <c r="A45" s="96">
        <v>44</v>
      </c>
      <c r="B45" s="100" t="s">
        <v>95</v>
      </c>
      <c r="C45" s="108">
        <v>1155000</v>
      </c>
    </row>
    <row r="46" spans="1:3" ht="19.5" customHeight="1" x14ac:dyDescent="0.2">
      <c r="A46" s="96">
        <v>45</v>
      </c>
      <c r="B46" s="100" t="s">
        <v>59</v>
      </c>
      <c r="C46" s="108">
        <v>880000</v>
      </c>
    </row>
    <row r="47" spans="1:3" ht="19.5" customHeight="1" x14ac:dyDescent="0.2">
      <c r="A47" s="96">
        <v>46</v>
      </c>
      <c r="B47" s="100" t="s">
        <v>237</v>
      </c>
      <c r="C47" s="108">
        <v>1045000</v>
      </c>
    </row>
    <row r="48" spans="1:3" ht="19.5" customHeight="1" x14ac:dyDescent="0.2">
      <c r="A48" s="96">
        <v>47</v>
      </c>
      <c r="B48" s="100" t="s">
        <v>115</v>
      </c>
      <c r="C48" s="108">
        <v>1100000</v>
      </c>
    </row>
    <row r="49" spans="1:3" ht="19.5" customHeight="1" x14ac:dyDescent="0.2">
      <c r="A49" s="96">
        <v>48</v>
      </c>
      <c r="B49" s="100" t="s">
        <v>99</v>
      </c>
      <c r="C49" s="108">
        <v>1045000</v>
      </c>
    </row>
    <row r="50" spans="1:3" ht="19.5" customHeight="1" x14ac:dyDescent="0.2">
      <c r="A50" s="96">
        <v>49</v>
      </c>
      <c r="B50" s="100" t="s">
        <v>51</v>
      </c>
      <c r="C50" s="108">
        <v>990000</v>
      </c>
    </row>
    <row r="51" spans="1:3" ht="19.5" customHeight="1" x14ac:dyDescent="0.2">
      <c r="A51" s="96">
        <v>50</v>
      </c>
      <c r="B51" s="100" t="s">
        <v>97</v>
      </c>
      <c r="C51" s="108">
        <v>660000</v>
      </c>
    </row>
    <row r="52" spans="1:3" ht="19.5" customHeight="1" x14ac:dyDescent="0.2">
      <c r="A52" s="96">
        <v>51</v>
      </c>
      <c r="B52" s="100" t="s">
        <v>245</v>
      </c>
      <c r="C52" s="108">
        <v>880000</v>
      </c>
    </row>
    <row r="53" spans="1:3" ht="19.5" customHeight="1" x14ac:dyDescent="0.2">
      <c r="A53" s="96">
        <v>52</v>
      </c>
      <c r="B53" s="100" t="s">
        <v>240</v>
      </c>
      <c r="C53" s="108">
        <v>990000</v>
      </c>
    </row>
    <row r="54" spans="1:3" ht="19.5" customHeight="1" x14ac:dyDescent="0.2">
      <c r="A54" s="96">
        <v>53</v>
      </c>
      <c r="B54" s="100" t="s">
        <v>246</v>
      </c>
      <c r="C54" s="108">
        <v>935000</v>
      </c>
    </row>
    <row r="55" spans="1:3" ht="19.5" customHeight="1" x14ac:dyDescent="0.2">
      <c r="A55" s="96">
        <v>54</v>
      </c>
      <c r="B55" s="100" t="s">
        <v>73</v>
      </c>
      <c r="C55" s="108">
        <v>880000</v>
      </c>
    </row>
    <row r="56" spans="1:3" ht="19.5" customHeight="1" x14ac:dyDescent="0.2">
      <c r="A56" s="96">
        <v>55</v>
      </c>
      <c r="B56" s="100" t="s">
        <v>40</v>
      </c>
      <c r="C56" s="108">
        <v>880000</v>
      </c>
    </row>
    <row r="57" spans="1:3" ht="19.5" customHeight="1" x14ac:dyDescent="0.2">
      <c r="A57" s="96">
        <v>56</v>
      </c>
      <c r="B57" s="100" t="s">
        <v>227</v>
      </c>
      <c r="C57" s="108">
        <v>825000</v>
      </c>
    </row>
    <row r="58" spans="1:3" ht="19.5" customHeight="1" x14ac:dyDescent="0.2">
      <c r="A58" s="96">
        <v>57</v>
      </c>
      <c r="B58" s="100" t="s">
        <v>124</v>
      </c>
      <c r="C58" s="108">
        <v>880000</v>
      </c>
    </row>
    <row r="59" spans="1:3" ht="19.5" customHeight="1" x14ac:dyDescent="0.2">
      <c r="A59" s="96">
        <v>58</v>
      </c>
      <c r="B59" s="100" t="s">
        <v>86</v>
      </c>
      <c r="C59" s="108">
        <v>880000</v>
      </c>
    </row>
    <row r="60" spans="1:3" ht="19.5" customHeight="1" x14ac:dyDescent="0.2">
      <c r="A60" s="96">
        <v>59</v>
      </c>
      <c r="B60" s="100" t="s">
        <v>106</v>
      </c>
      <c r="C60" s="108">
        <v>770000</v>
      </c>
    </row>
    <row r="61" spans="1:3" ht="19.5" customHeight="1" x14ac:dyDescent="0.2">
      <c r="A61" s="96">
        <v>60</v>
      </c>
      <c r="B61" s="100" t="s">
        <v>143</v>
      </c>
      <c r="C61" s="108">
        <v>770000</v>
      </c>
    </row>
    <row r="62" spans="1:3" ht="19.5" customHeight="1" x14ac:dyDescent="0.2">
      <c r="A62" s="96">
        <v>61</v>
      </c>
      <c r="B62" s="100" t="s">
        <v>131</v>
      </c>
      <c r="C62" s="108">
        <v>660000</v>
      </c>
    </row>
    <row r="63" spans="1:3" ht="19.5" customHeight="1" x14ac:dyDescent="0.2">
      <c r="A63" s="96">
        <v>62</v>
      </c>
      <c r="B63" s="100" t="s">
        <v>128</v>
      </c>
      <c r="C63" s="108">
        <v>715000</v>
      </c>
    </row>
    <row r="64" spans="1:3" ht="19.5" customHeight="1" x14ac:dyDescent="0.2">
      <c r="A64" s="96">
        <v>63</v>
      </c>
      <c r="B64" s="100" t="s">
        <v>184</v>
      </c>
      <c r="C64" s="108">
        <v>715000</v>
      </c>
    </row>
    <row r="65" spans="1:3" ht="19.5" customHeight="1" x14ac:dyDescent="0.2">
      <c r="A65" s="96">
        <v>64</v>
      </c>
      <c r="B65" s="100" t="s">
        <v>165</v>
      </c>
      <c r="C65" s="108">
        <v>770000</v>
      </c>
    </row>
    <row r="66" spans="1:3" ht="19.5" customHeight="1" x14ac:dyDescent="0.2">
      <c r="A66" s="96">
        <v>65</v>
      </c>
      <c r="B66" s="100" t="s">
        <v>118</v>
      </c>
      <c r="C66" s="108">
        <v>770000</v>
      </c>
    </row>
    <row r="67" spans="1:3" ht="19" customHeight="1" x14ac:dyDescent="0.2">
      <c r="A67" s="96">
        <v>66</v>
      </c>
      <c r="B67" s="100" t="s">
        <v>197</v>
      </c>
      <c r="C67" s="108">
        <v>715000</v>
      </c>
    </row>
    <row r="68" spans="1:3" ht="15.75" customHeight="1" x14ac:dyDescent="0.2">
      <c r="A68" s="96">
        <v>67</v>
      </c>
      <c r="B68" s="100" t="s">
        <v>126</v>
      </c>
      <c r="C68" s="108">
        <v>715000</v>
      </c>
    </row>
    <row r="69" spans="1:3" ht="15.75" customHeight="1" x14ac:dyDescent="0.2">
      <c r="A69" s="96">
        <v>68</v>
      </c>
      <c r="B69" s="101" t="s">
        <v>196</v>
      </c>
      <c r="C69" s="108">
        <v>715000</v>
      </c>
    </row>
    <row r="70" spans="1:3" ht="15.75" customHeight="1" x14ac:dyDescent="0.2">
      <c r="A70" s="96">
        <v>69</v>
      </c>
      <c r="B70" s="100" t="s">
        <v>190</v>
      </c>
      <c r="C70" s="108">
        <v>770000</v>
      </c>
    </row>
    <row r="71" spans="1:3" ht="15.75" customHeight="1" x14ac:dyDescent="0.2">
      <c r="A71" s="96">
        <v>70</v>
      </c>
      <c r="B71" s="100" t="s">
        <v>152</v>
      </c>
      <c r="C71" s="108">
        <v>715000</v>
      </c>
    </row>
    <row r="72" spans="1:3" ht="15.75" customHeight="1" x14ac:dyDescent="0.2">
      <c r="A72" s="96">
        <v>71</v>
      </c>
      <c r="B72" s="100" t="s">
        <v>228</v>
      </c>
      <c r="C72" s="108">
        <v>550000</v>
      </c>
    </row>
    <row r="73" spans="1:3" ht="15.75" customHeight="1" x14ac:dyDescent="0.2">
      <c r="A73" s="96">
        <v>72</v>
      </c>
      <c r="B73" s="100" t="s">
        <v>225</v>
      </c>
      <c r="C73" s="108">
        <v>495000</v>
      </c>
    </row>
    <row r="74" spans="1:3" ht="15.75" customHeight="1" x14ac:dyDescent="0.2">
      <c r="A74" s="96">
        <v>73</v>
      </c>
      <c r="B74" s="100" t="s">
        <v>37</v>
      </c>
      <c r="C74" s="108">
        <v>495000</v>
      </c>
    </row>
    <row r="75" spans="1:3" ht="15.75" customHeight="1" x14ac:dyDescent="0.2">
      <c r="A75" s="96">
        <v>74</v>
      </c>
      <c r="B75" s="100" t="s">
        <v>239</v>
      </c>
      <c r="C75" s="108">
        <v>550000</v>
      </c>
    </row>
    <row r="76" spans="1:3" ht="15.75" customHeight="1" x14ac:dyDescent="0.2">
      <c r="A76" s="96">
        <v>75</v>
      </c>
      <c r="B76" s="100" t="s">
        <v>36</v>
      </c>
      <c r="C76" s="108">
        <v>495000</v>
      </c>
    </row>
    <row r="77" spans="1:3" ht="15.75" customHeight="1" x14ac:dyDescent="0.2">
      <c r="A77" s="96">
        <v>76</v>
      </c>
      <c r="B77" s="100" t="s">
        <v>198</v>
      </c>
      <c r="C77" s="108">
        <v>440000</v>
      </c>
    </row>
    <row r="78" spans="1:3" ht="15.75" customHeight="1" x14ac:dyDescent="0.2">
      <c r="A78" s="96">
        <v>77</v>
      </c>
      <c r="B78" s="100" t="s">
        <v>6</v>
      </c>
      <c r="C78" s="108">
        <v>330000</v>
      </c>
    </row>
    <row r="79" spans="1:3" ht="15.75" customHeight="1" x14ac:dyDescent="0.2">
      <c r="A79" s="96">
        <v>78</v>
      </c>
      <c r="B79" s="100" t="s">
        <v>7</v>
      </c>
      <c r="C79" s="108">
        <v>330000</v>
      </c>
    </row>
    <row r="80" spans="1:3" ht="15.75" customHeight="1" x14ac:dyDescent="0.2">
      <c r="A80" s="96">
        <v>79</v>
      </c>
      <c r="B80" s="100" t="s">
        <v>268</v>
      </c>
      <c r="C80" s="108">
        <v>880000</v>
      </c>
    </row>
    <row r="81" spans="1:3" ht="15.75" customHeight="1" x14ac:dyDescent="0.2">
      <c r="A81" s="96">
        <v>80</v>
      </c>
      <c r="B81" s="100" t="s">
        <v>274</v>
      </c>
      <c r="C81" s="108">
        <v>1200000</v>
      </c>
    </row>
    <row r="82" spans="1:3" ht="15.75" customHeight="1" x14ac:dyDescent="0.2">
      <c r="A82" s="96">
        <v>81</v>
      </c>
      <c r="B82" s="100" t="s">
        <v>299</v>
      </c>
      <c r="C82" s="108">
        <v>1210000</v>
      </c>
    </row>
    <row r="83" spans="1:3" ht="15.75" customHeight="1" x14ac:dyDescent="0.2">
      <c r="A83" s="96">
        <v>82</v>
      </c>
      <c r="B83" s="100" t="s">
        <v>300</v>
      </c>
      <c r="C83" s="108">
        <v>1210000</v>
      </c>
    </row>
    <row r="84" spans="1:3" ht="15.75" customHeight="1" x14ac:dyDescent="0.2">
      <c r="A84" s="96">
        <v>83</v>
      </c>
      <c r="B84" s="100" t="s">
        <v>326</v>
      </c>
      <c r="C84" s="108">
        <v>1320000</v>
      </c>
    </row>
    <row r="85" spans="1:3" ht="15.75" customHeight="1" x14ac:dyDescent="0.2">
      <c r="B85" s="100" t="s">
        <v>348</v>
      </c>
      <c r="C85" s="108">
        <v>1210000</v>
      </c>
    </row>
    <row r="86" spans="1:3" ht="15.75" customHeight="1" x14ac:dyDescent="0.15"/>
    <row r="87" spans="1:3" ht="15.75" customHeight="1" x14ac:dyDescent="0.15"/>
    <row r="88" spans="1:3" ht="15.75" customHeight="1" x14ac:dyDescent="0.15"/>
    <row r="89" spans="1:3" ht="15.75" customHeight="1" x14ac:dyDescent="0.15"/>
    <row r="90" spans="1:3" ht="15.75" customHeight="1" x14ac:dyDescent="0.15"/>
    <row r="91" spans="1:3" ht="15.75" customHeight="1" x14ac:dyDescent="0.15"/>
    <row r="92" spans="1:3" ht="15.75" customHeight="1" x14ac:dyDescent="0.15"/>
    <row r="93" spans="1:3" ht="15.75" customHeight="1" x14ac:dyDescent="0.15"/>
    <row r="94" spans="1:3" ht="15.75" customHeight="1" x14ac:dyDescent="0.15"/>
    <row r="95" spans="1:3" ht="15.75" customHeight="1" x14ac:dyDescent="0.15"/>
    <row r="96" spans="1:3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ยอดขายปีที่แล้ว</vt:lpstr>
      <vt:lpstr>ยอดขายเดือนที่เแล้ว</vt:lpstr>
      <vt:lpstr>ยอดขายปัจจุบัน</vt:lpstr>
      <vt:lpstr>Report</vt:lpstr>
      <vt:lpstr>Target ปี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Manager</dc:creator>
  <cp:lastModifiedBy>BEN Area manager</cp:lastModifiedBy>
  <dcterms:created xsi:type="dcterms:W3CDTF">2024-02-28T08:07:27Z</dcterms:created>
  <dcterms:modified xsi:type="dcterms:W3CDTF">2026-04-13T04:53:21Z</dcterms:modified>
</cp:coreProperties>
</file>