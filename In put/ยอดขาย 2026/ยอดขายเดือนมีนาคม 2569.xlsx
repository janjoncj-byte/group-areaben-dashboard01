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/Users/appleclub/Documents/In put/ยอดขาย 2026/"/>
    </mc:Choice>
  </mc:AlternateContent>
  <xr:revisionPtr revIDLastSave="0" documentId="13_ncr:1_{2648B9BB-4367-974F-834D-A3D2852B7C26}" xr6:coauthVersionLast="47" xr6:coauthVersionMax="47" xr10:uidLastSave="{00000000-0000-0000-0000-000000000000}"/>
  <bookViews>
    <workbookView xWindow="0" yWindow="600" windowWidth="25600" windowHeight="14260" activeTab="3" xr2:uid="{8931555F-816B-F84D-885D-4269E85FD78A}"/>
  </bookViews>
  <sheets>
    <sheet name="ยอดขายปีที่แล้ว" sheetId="31" r:id="rId1"/>
    <sheet name="ยอดขายเดือนที่เแล้ว" sheetId="34" r:id="rId2"/>
    <sheet name="ยอดขายปัจจุบัน" sheetId="3" r:id="rId3"/>
    <sheet name="Report" sheetId="1" r:id="rId4"/>
    <sheet name="Target ปี 2026" sheetId="56" r:id="rId5"/>
  </sheets>
  <definedNames>
    <definedName name="_xlnm._FilterDatabase" localSheetId="2" hidden="1">ยอดขายปัจจุบัน!$A$2:$E$52</definedName>
    <definedName name="_xlnm._FilterDatabase" localSheetId="3" hidden="1">Report!$C$44:$D$57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3" l="1"/>
  <c r="G21" i="3" a="1"/>
  <c r="G21" i="3" s="1"/>
  <c r="G20" i="3" a="1"/>
  <c r="G19" i="3" a="1"/>
  <c r="G18" i="3" a="1"/>
  <c r="G17" i="3" a="1"/>
  <c r="G16" i="3" a="1"/>
  <c r="G15" i="3" a="1"/>
  <c r="G14" i="3" a="1"/>
  <c r="G13" i="3" a="1"/>
  <c r="G12" i="3" a="1"/>
  <c r="G11" i="3" a="1"/>
  <c r="G10" i="3" a="1"/>
  <c r="G9" i="3" a="1"/>
  <c r="G8" i="3" a="1"/>
  <c r="G7" i="3" a="1"/>
  <c r="G6" i="3" a="1"/>
  <c r="G5" i="3" a="1"/>
  <c r="G4" i="3" a="1"/>
  <c r="AO4" i="1"/>
  <c r="AP4" i="1"/>
  <c r="AO5" i="1"/>
  <c r="AP5" i="1"/>
  <c r="AO6" i="1"/>
  <c r="AP6" i="1"/>
  <c r="AO7" i="1"/>
  <c r="AP7" i="1"/>
  <c r="AO8" i="1"/>
  <c r="AP8" i="1"/>
  <c r="AO9" i="1"/>
  <c r="AP9" i="1"/>
  <c r="AO11" i="1"/>
  <c r="AP11" i="1"/>
  <c r="AO12" i="1"/>
  <c r="AP12" i="1"/>
  <c r="AO13" i="1"/>
  <c r="AP13" i="1"/>
  <c r="AO14" i="1"/>
  <c r="AP14" i="1"/>
  <c r="AO15" i="1"/>
  <c r="AP15" i="1"/>
  <c r="AO16" i="1"/>
  <c r="AP16" i="1"/>
  <c r="AO17" i="1"/>
  <c r="AP17" i="1"/>
  <c r="AO18" i="1"/>
  <c r="AP18" i="1"/>
  <c r="AO19" i="1"/>
  <c r="AP19" i="1"/>
  <c r="AO20" i="1"/>
  <c r="AP20" i="1"/>
  <c r="AO21" i="1"/>
  <c r="AP21" i="1"/>
  <c r="AP3" i="1"/>
  <c r="AO3" i="1"/>
  <c r="AF12" i="1"/>
  <c r="AJ22" i="1"/>
  <c r="AK22" i="1"/>
  <c r="AL22" i="1"/>
  <c r="AM22" i="1"/>
  <c r="AN22" i="1"/>
  <c r="Z20" i="1"/>
  <c r="AA20" i="1" s="1"/>
  <c r="AE20" i="1"/>
  <c r="E20" i="1"/>
  <c r="D61" i="1" s="1"/>
  <c r="G20" i="1"/>
  <c r="C20" i="1"/>
  <c r="AS20" i="1"/>
  <c r="AJ21" i="1"/>
  <c r="AK21" i="1"/>
  <c r="AL21" i="1"/>
  <c r="AM21" i="1"/>
  <c r="AN21" i="1"/>
  <c r="C4" i="1"/>
  <c r="C5" i="1"/>
  <c r="C6" i="1"/>
  <c r="C7" i="1"/>
  <c r="C8" i="1"/>
  <c r="C9" i="1"/>
  <c r="C11" i="1"/>
  <c r="C12" i="1"/>
  <c r="C13" i="1"/>
  <c r="C14" i="1"/>
  <c r="C15" i="1"/>
  <c r="C16" i="1"/>
  <c r="C17" i="1"/>
  <c r="C18" i="1"/>
  <c r="C19" i="1"/>
  <c r="E37" i="1"/>
  <c r="I20" i="3" l="1"/>
  <c r="G20" i="3"/>
  <c r="G19" i="3"/>
  <c r="I19" i="3"/>
  <c r="I18" i="3"/>
  <c r="G18" i="3"/>
  <c r="I17" i="3"/>
  <c r="G17" i="3"/>
  <c r="I16" i="3"/>
  <c r="G16" i="3"/>
  <c r="I15" i="3"/>
  <c r="G15" i="3"/>
  <c r="I14" i="3"/>
  <c r="G14" i="3"/>
  <c r="I13" i="3"/>
  <c r="G13" i="3"/>
  <c r="I12" i="3"/>
  <c r="G12" i="3"/>
  <c r="I11" i="3"/>
  <c r="G11" i="3"/>
  <c r="I10" i="3"/>
  <c r="G10" i="3"/>
  <c r="G9" i="3"/>
  <c r="I9" i="3"/>
  <c r="I8" i="3"/>
  <c r="G8" i="3"/>
  <c r="I7" i="3"/>
  <c r="G7" i="3"/>
  <c r="G6" i="3"/>
  <c r="I6" i="3"/>
  <c r="I5" i="3"/>
  <c r="G5" i="3"/>
  <c r="G4" i="3"/>
  <c r="I4" i="3"/>
  <c r="AO22" i="1"/>
  <c r="AP22" i="1"/>
  <c r="C61" i="1"/>
  <c r="AT20" i="1"/>
  <c r="AF20" i="1"/>
  <c r="Q20" i="1"/>
  <c r="R20" i="1" s="1"/>
  <c r="S20" i="1" s="1"/>
  <c r="Y20" i="1"/>
  <c r="K20" i="1"/>
  <c r="D20" i="1"/>
  <c r="B20" i="1"/>
  <c r="F20" i="1"/>
  <c r="AU20" i="1" s="1"/>
  <c r="AV20" i="1" s="1"/>
  <c r="H20" i="1"/>
  <c r="J20" i="1" s="1"/>
  <c r="AW20" i="1" l="1"/>
  <c r="AX20" i="1" s="1"/>
  <c r="AY20" i="1"/>
  <c r="AZ20" i="1" s="1"/>
  <c r="BA20" i="1" s="1"/>
  <c r="N20" i="1"/>
  <c r="T20" i="1"/>
  <c r="U20" i="1" s="1"/>
  <c r="V20" i="1"/>
  <c r="W20" i="1" s="1"/>
  <c r="AB20" i="1"/>
  <c r="AG20" i="1"/>
  <c r="L20" i="1"/>
  <c r="AE19" i="1"/>
  <c r="AF19" i="1" s="1"/>
  <c r="O20" i="1" l="1"/>
  <c r="P20" i="1"/>
  <c r="AD20" i="1"/>
  <c r="AC20" i="1"/>
  <c r="AH20" i="1"/>
  <c r="AI20" i="1"/>
  <c r="AS12" i="1" l="1"/>
  <c r="AS13" i="1"/>
  <c r="AS14" i="1"/>
  <c r="AS15" i="1"/>
  <c r="AS16" i="1"/>
  <c r="AS17" i="1"/>
  <c r="AS18" i="1"/>
  <c r="AS19" i="1"/>
  <c r="AS11" i="1"/>
  <c r="AS4" i="1"/>
  <c r="AS5" i="1"/>
  <c r="AS6" i="1"/>
  <c r="AS7" i="1"/>
  <c r="AS8" i="1"/>
  <c r="AS9" i="1"/>
  <c r="AS3" i="1"/>
  <c r="Z15" i="1"/>
  <c r="AA15" i="1" s="1"/>
  <c r="Z16" i="1"/>
  <c r="AA16" i="1" s="1"/>
  <c r="Z17" i="1"/>
  <c r="AA17" i="1" s="1"/>
  <c r="Z18" i="1"/>
  <c r="AA18" i="1" s="1"/>
  <c r="Z19" i="1"/>
  <c r="AA19" i="1" s="1"/>
  <c r="E12" i="1"/>
  <c r="G12" i="1"/>
  <c r="AA12" i="1"/>
  <c r="AE12" i="1"/>
  <c r="AE13" i="1"/>
  <c r="AF13" i="1" s="1"/>
  <c r="E13" i="1"/>
  <c r="G13" i="1"/>
  <c r="Z13" i="1"/>
  <c r="AA13" i="1" s="1"/>
  <c r="AE17" i="1"/>
  <c r="AF17" i="1" s="1"/>
  <c r="AE18" i="1"/>
  <c r="AF18" i="1" s="1"/>
  <c r="G17" i="1"/>
  <c r="G18" i="1"/>
  <c r="G19" i="1"/>
  <c r="E17" i="1"/>
  <c r="E18" i="1"/>
  <c r="E19" i="1"/>
  <c r="D12" i="1" l="1"/>
  <c r="C53" i="1"/>
  <c r="B19" i="1"/>
  <c r="C60" i="1"/>
  <c r="B18" i="1"/>
  <c r="C59" i="1"/>
  <c r="D13" i="1"/>
  <c r="C54" i="1"/>
  <c r="B13" i="1"/>
  <c r="B17" i="1"/>
  <c r="C58" i="1"/>
  <c r="B12" i="1"/>
  <c r="F13" i="1"/>
  <c r="D54" i="1"/>
  <c r="F18" i="1"/>
  <c r="L18" i="1" s="1"/>
  <c r="D59" i="1"/>
  <c r="Y17" i="1"/>
  <c r="D58" i="1"/>
  <c r="Y19" i="1"/>
  <c r="D60" i="1"/>
  <c r="Q12" i="1"/>
  <c r="R12" i="1" s="1"/>
  <c r="S12" i="1" s="1"/>
  <c r="D53" i="1"/>
  <c r="AT13" i="1"/>
  <c r="AT12" i="1"/>
  <c r="AT19" i="1"/>
  <c r="AT18" i="1"/>
  <c r="AT17" i="1"/>
  <c r="H12" i="1"/>
  <c r="J12" i="1" s="1"/>
  <c r="Y12" i="1"/>
  <c r="F12" i="1"/>
  <c r="L12" i="1" s="1"/>
  <c r="H13" i="1"/>
  <c r="J13" i="1" s="1"/>
  <c r="Y13" i="1"/>
  <c r="Q13" i="1"/>
  <c r="R13" i="1" s="1"/>
  <c r="S13" i="1" s="1"/>
  <c r="H18" i="1"/>
  <c r="J18" i="1" s="1"/>
  <c r="D19" i="1"/>
  <c r="D18" i="1"/>
  <c r="D17" i="1"/>
  <c r="H17" i="1"/>
  <c r="J17" i="1" s="1"/>
  <c r="Y18" i="1"/>
  <c r="Q18" i="1"/>
  <c r="R18" i="1" s="1"/>
  <c r="S18" i="1" s="1"/>
  <c r="F17" i="1"/>
  <c r="L17" i="1" s="1"/>
  <c r="Q19" i="1"/>
  <c r="R19" i="1" s="1"/>
  <c r="S19" i="1" s="1"/>
  <c r="Q17" i="1"/>
  <c r="R17" i="1" s="1"/>
  <c r="S17" i="1" s="1"/>
  <c r="H19" i="1"/>
  <c r="J19" i="1" s="1"/>
  <c r="F19" i="1"/>
  <c r="V13" i="1" l="1"/>
  <c r="L13" i="1"/>
  <c r="AB19" i="1"/>
  <c r="L19" i="1"/>
  <c r="T18" i="1"/>
  <c r="V18" i="1"/>
  <c r="N18" i="1"/>
  <c r="N13" i="1"/>
  <c r="AB18" i="1"/>
  <c r="AU18" i="1"/>
  <c r="AV18" i="1" s="1"/>
  <c r="AY18" i="1" s="1"/>
  <c r="AG13" i="1"/>
  <c r="AH13" i="1" s="1"/>
  <c r="AU17" i="1"/>
  <c r="AV17" i="1" s="1"/>
  <c r="AY17" i="1" s="1"/>
  <c r="T13" i="1"/>
  <c r="AB13" i="1"/>
  <c r="AD13" i="1" s="1"/>
  <c r="AU19" i="1"/>
  <c r="AV19" i="1" s="1"/>
  <c r="AY19" i="1" s="1"/>
  <c r="AU12" i="1"/>
  <c r="AV12" i="1" s="1"/>
  <c r="AY12" i="1" s="1"/>
  <c r="AU13" i="1"/>
  <c r="AV13" i="1" s="1"/>
  <c r="AY13" i="1" s="1"/>
  <c r="AG18" i="1"/>
  <c r="V12" i="1"/>
  <c r="T12" i="1"/>
  <c r="N12" i="1"/>
  <c r="AB12" i="1"/>
  <c r="AG12" i="1"/>
  <c r="AB17" i="1"/>
  <c r="N17" i="1"/>
  <c r="AG17" i="1"/>
  <c r="AH17" i="1" s="1"/>
  <c r="T17" i="1"/>
  <c r="V17" i="1"/>
  <c r="N19" i="1"/>
  <c r="T19" i="1"/>
  <c r="V19" i="1"/>
  <c r="AG19" i="1"/>
  <c r="AH19" i="1" s="1"/>
  <c r="C3" i="1"/>
  <c r="C22" i="1" l="1"/>
  <c r="C21" i="1"/>
  <c r="AD18" i="1"/>
  <c r="AC18" i="1"/>
  <c r="AH18" i="1"/>
  <c r="AI18" i="1"/>
  <c r="C45" i="1"/>
  <c r="AW18" i="1"/>
  <c r="AX18" i="1" s="1"/>
  <c r="AC13" i="1"/>
  <c r="AI13" i="1"/>
  <c r="AT7" i="1"/>
  <c r="C49" i="1"/>
  <c r="AT16" i="1"/>
  <c r="C57" i="1"/>
  <c r="AT4" i="1"/>
  <c r="C46" i="1"/>
  <c r="AT14" i="1"/>
  <c r="C55" i="1"/>
  <c r="AT9" i="1"/>
  <c r="C51" i="1"/>
  <c r="AT15" i="1"/>
  <c r="C56" i="1"/>
  <c r="AT8" i="1"/>
  <c r="C50" i="1"/>
  <c r="AT11" i="1"/>
  <c r="C52" i="1"/>
  <c r="AT6" i="1"/>
  <c r="C48" i="1"/>
  <c r="AT5" i="1"/>
  <c r="C47" i="1"/>
  <c r="AZ19" i="1"/>
  <c r="BA19" i="1" s="1"/>
  <c r="AT3" i="1"/>
  <c r="AW17" i="1"/>
  <c r="AX17" i="1" s="1"/>
  <c r="AW12" i="1"/>
  <c r="AX12" i="1" s="1"/>
  <c r="AW13" i="1"/>
  <c r="AX13" i="1" s="1"/>
  <c r="AZ13" i="1"/>
  <c r="BA13" i="1" s="1"/>
  <c r="AZ17" i="1"/>
  <c r="BA17" i="1" s="1"/>
  <c r="AZ12" i="1"/>
  <c r="BA12" i="1" s="1"/>
  <c r="AW19" i="1"/>
  <c r="AX19" i="1" s="1"/>
  <c r="AZ18" i="1"/>
  <c r="BA18" i="1" s="1"/>
  <c r="AI19" i="1"/>
  <c r="AI12" i="1"/>
  <c r="AH12" i="1"/>
  <c r="AI17" i="1"/>
  <c r="K13" i="1"/>
  <c r="K12" i="1"/>
  <c r="P12" i="1"/>
  <c r="O12" i="1"/>
  <c r="W12" i="1"/>
  <c r="U12" i="1"/>
  <c r="AD12" i="1"/>
  <c r="AC12" i="1"/>
  <c r="P13" i="1"/>
  <c r="O13" i="1"/>
  <c r="W13" i="1"/>
  <c r="U13" i="1"/>
  <c r="U19" i="1"/>
  <c r="U17" i="1"/>
  <c r="K17" i="1"/>
  <c r="K18" i="1"/>
  <c r="K19" i="1"/>
  <c r="P18" i="1"/>
  <c r="O18" i="1"/>
  <c r="B16" i="1"/>
  <c r="W17" i="1"/>
  <c r="W18" i="1"/>
  <c r="W19" i="1"/>
  <c r="U18" i="1"/>
  <c r="P19" i="1"/>
  <c r="O19" i="1"/>
  <c r="O17" i="1"/>
  <c r="P17" i="1"/>
  <c r="AD19" i="1"/>
  <c r="AC19" i="1"/>
  <c r="AC17" i="1"/>
  <c r="AD17" i="1"/>
  <c r="AT21" i="1" l="1"/>
  <c r="AE16" i="1" l="1"/>
  <c r="AF16" i="1" s="1"/>
  <c r="E16" i="1"/>
  <c r="D57" i="1" s="1"/>
  <c r="G16" i="1"/>
  <c r="H16" i="1" l="1"/>
  <c r="J16" i="1" s="1"/>
  <c r="Q16" i="1"/>
  <c r="R16" i="1" s="1"/>
  <c r="S16" i="1" s="1"/>
  <c r="D16" i="1"/>
  <c r="F16" i="1"/>
  <c r="L16" i="1" s="1"/>
  <c r="AU16" i="1" l="1"/>
  <c r="AV16" i="1" s="1"/>
  <c r="T16" i="1"/>
  <c r="V16" i="1"/>
  <c r="N16" i="1"/>
  <c r="AB16" i="1"/>
  <c r="AD16" i="1" s="1"/>
  <c r="AG16" i="1"/>
  <c r="AH16" i="1" s="1"/>
  <c r="AY16" i="1" l="1"/>
  <c r="AZ16" i="1" s="1"/>
  <c r="BA16" i="1" s="1"/>
  <c r="AW16" i="1"/>
  <c r="AX16" i="1" s="1"/>
  <c r="AI16" i="1"/>
  <c r="AC16" i="1"/>
  <c r="P16" i="1" l="1"/>
  <c r="W16" i="1"/>
  <c r="U16" i="1"/>
  <c r="K16" i="1"/>
  <c r="O16" i="1"/>
  <c r="AE4" i="1" l="1"/>
  <c r="AF4" i="1" s="1"/>
  <c r="Z4" i="1"/>
  <c r="AA4" i="1" s="1"/>
  <c r="G4" i="1"/>
  <c r="E4" i="1"/>
  <c r="D46" i="1" s="1"/>
  <c r="D4" i="1"/>
  <c r="B4" i="1"/>
  <c r="AE3" i="1"/>
  <c r="Z3" i="1"/>
  <c r="G3" i="1"/>
  <c r="E3" i="1"/>
  <c r="D3" i="1"/>
  <c r="B3" i="1"/>
  <c r="AA3" i="1" l="1"/>
  <c r="AF3" i="1"/>
  <c r="D45" i="1"/>
  <c r="F4" i="1"/>
  <c r="L4" i="1" s="1"/>
  <c r="Q4" i="1"/>
  <c r="R4" i="1" s="1"/>
  <c r="S4" i="1" s="1"/>
  <c r="H4" i="1"/>
  <c r="J4" i="1" s="1"/>
  <c r="F3" i="1"/>
  <c r="Q3" i="1"/>
  <c r="H3" i="1"/>
  <c r="L3" i="1" l="1"/>
  <c r="R3" i="1"/>
  <c r="J3" i="1"/>
  <c r="AU4" i="1"/>
  <c r="AV4" i="1" s="1"/>
  <c r="AU3" i="1"/>
  <c r="AB4" i="1"/>
  <c r="T4" i="1"/>
  <c r="AG4" i="1"/>
  <c r="V4" i="1"/>
  <c r="N4" i="1"/>
  <c r="T3" i="1"/>
  <c r="AB3" i="1"/>
  <c r="AG3" i="1"/>
  <c r="V3" i="1"/>
  <c r="N3" i="1"/>
  <c r="AE9" i="1"/>
  <c r="AF9" i="1" s="1"/>
  <c r="Z9" i="1"/>
  <c r="AA9" i="1" s="1"/>
  <c r="G9" i="1"/>
  <c r="E9" i="1"/>
  <c r="D51" i="1" s="1"/>
  <c r="D9" i="1"/>
  <c r="B9" i="1"/>
  <c r="AE8" i="1"/>
  <c r="AF8" i="1" s="1"/>
  <c r="Z8" i="1"/>
  <c r="AA8" i="1" s="1"/>
  <c r="G8" i="1"/>
  <c r="E8" i="1"/>
  <c r="D50" i="1" s="1"/>
  <c r="D8" i="1"/>
  <c r="B8" i="1"/>
  <c r="AE7" i="1"/>
  <c r="AF7" i="1" s="1"/>
  <c r="Z7" i="1"/>
  <c r="AA7" i="1" s="1"/>
  <c r="G7" i="1"/>
  <c r="E7" i="1"/>
  <c r="D49" i="1" s="1"/>
  <c r="D7" i="1"/>
  <c r="B7" i="1"/>
  <c r="AE6" i="1"/>
  <c r="AF6" i="1" s="1"/>
  <c r="Z6" i="1"/>
  <c r="AA6" i="1" s="1"/>
  <c r="G6" i="1"/>
  <c r="E6" i="1"/>
  <c r="D48" i="1" s="1"/>
  <c r="D6" i="1"/>
  <c r="B6" i="1"/>
  <c r="AE5" i="1"/>
  <c r="Z5" i="1"/>
  <c r="G5" i="1"/>
  <c r="E5" i="1"/>
  <c r="D5" i="1"/>
  <c r="B5" i="1"/>
  <c r="AV3" i="1" l="1"/>
  <c r="AA5" i="1"/>
  <c r="AA21" i="1" s="1"/>
  <c r="Z21" i="1"/>
  <c r="AF5" i="1"/>
  <c r="AE21" i="1"/>
  <c r="S3" i="1"/>
  <c r="D47" i="1"/>
  <c r="AI3" i="1"/>
  <c r="AH3" i="1"/>
  <c r="AH4" i="1"/>
  <c r="AI4" i="1"/>
  <c r="AW4" i="1"/>
  <c r="AX4" i="1" s="1"/>
  <c r="AY4" i="1"/>
  <c r="AZ4" i="1" s="1"/>
  <c r="BA4" i="1" s="1"/>
  <c r="W4" i="1"/>
  <c r="U4" i="1"/>
  <c r="K3" i="1"/>
  <c r="K4" i="1"/>
  <c r="AC4" i="1"/>
  <c r="AD4" i="1"/>
  <c r="P4" i="1"/>
  <c r="O4" i="1"/>
  <c r="W3" i="1"/>
  <c r="U3" i="1"/>
  <c r="P3" i="1"/>
  <c r="O3" i="1"/>
  <c r="AC3" i="1"/>
  <c r="AD3" i="1"/>
  <c r="K5" i="1"/>
  <c r="K6" i="1"/>
  <c r="K8" i="1"/>
  <c r="K9" i="1"/>
  <c r="H7" i="1"/>
  <c r="J7" i="1" s="1"/>
  <c r="H6" i="1"/>
  <c r="J6" i="1" s="1"/>
  <c r="F9" i="1"/>
  <c r="L9" i="1" s="1"/>
  <c r="Q9" i="1"/>
  <c r="R9" i="1" s="1"/>
  <c r="S9" i="1" s="1"/>
  <c r="H9" i="1"/>
  <c r="J9" i="1" s="1"/>
  <c r="F7" i="1"/>
  <c r="L7" i="1" s="1"/>
  <c r="Q7" i="1"/>
  <c r="R7" i="1" s="1"/>
  <c r="S7" i="1" s="1"/>
  <c r="F8" i="1"/>
  <c r="L8" i="1" s="1"/>
  <c r="Q8" i="1"/>
  <c r="R8" i="1" s="1"/>
  <c r="S8" i="1" s="1"/>
  <c r="K7" i="1"/>
  <c r="H8" i="1"/>
  <c r="J8" i="1" s="1"/>
  <c r="F6" i="1"/>
  <c r="L6" i="1" s="1"/>
  <c r="Q6" i="1"/>
  <c r="R6" i="1" s="1"/>
  <c r="S6" i="1" s="1"/>
  <c r="F5" i="1"/>
  <c r="Q5" i="1"/>
  <c r="H5" i="1"/>
  <c r="AW3" i="1" l="1"/>
  <c r="AX3" i="1" s="1"/>
  <c r="AY3" i="1"/>
  <c r="AZ3" i="1" s="1"/>
  <c r="BA3" i="1" s="1"/>
  <c r="AF21" i="1"/>
  <c r="L5" i="1"/>
  <c r="R5" i="1"/>
  <c r="Q21" i="1"/>
  <c r="J5" i="1"/>
  <c r="AU8" i="1"/>
  <c r="AV8" i="1" s="1"/>
  <c r="AU7" i="1"/>
  <c r="AV7" i="1" s="1"/>
  <c r="AU6" i="1"/>
  <c r="AV6" i="1" s="1"/>
  <c r="AU5" i="1"/>
  <c r="AU9" i="1"/>
  <c r="AV9" i="1" s="1"/>
  <c r="AB7" i="1"/>
  <c r="AB9" i="1"/>
  <c r="T9" i="1"/>
  <c r="U9" i="1" s="1"/>
  <c r="AG9" i="1"/>
  <c r="V9" i="1"/>
  <c r="W9" i="1" s="1"/>
  <c r="N9" i="1"/>
  <c r="AB8" i="1"/>
  <c r="T8" i="1"/>
  <c r="U8" i="1" s="1"/>
  <c r="AG8" i="1"/>
  <c r="V8" i="1"/>
  <c r="W8" i="1" s="1"/>
  <c r="N8" i="1"/>
  <c r="V7" i="1"/>
  <c r="W7" i="1" s="1"/>
  <c r="N7" i="1"/>
  <c r="T7" i="1"/>
  <c r="U7" i="1" s="1"/>
  <c r="AG7" i="1"/>
  <c r="V6" i="1"/>
  <c r="W6" i="1" s="1"/>
  <c r="AB6" i="1"/>
  <c r="T6" i="1"/>
  <c r="U6" i="1" s="1"/>
  <c r="AG6" i="1"/>
  <c r="N6" i="1"/>
  <c r="N5" i="1"/>
  <c r="AB5" i="1"/>
  <c r="T5" i="1"/>
  <c r="AG5" i="1"/>
  <c r="V5" i="1"/>
  <c r="AV5" i="1" l="1"/>
  <c r="S5" i="1"/>
  <c r="S21" i="1" s="1"/>
  <c r="R21" i="1"/>
  <c r="AB21" i="1"/>
  <c r="AG21" i="1"/>
  <c r="U5" i="1"/>
  <c r="U21" i="1" s="1"/>
  <c r="T21" i="1"/>
  <c r="W5" i="1"/>
  <c r="W21" i="1" s="1"/>
  <c r="V21" i="1"/>
  <c r="AC6" i="1"/>
  <c r="AD6" i="1"/>
  <c r="AD5" i="1"/>
  <c r="AC5" i="1"/>
  <c r="AH8" i="1"/>
  <c r="AI8" i="1"/>
  <c r="AH9" i="1"/>
  <c r="AI9" i="1"/>
  <c r="AI5" i="1"/>
  <c r="AH5" i="1"/>
  <c r="AH7" i="1"/>
  <c r="AI7" i="1"/>
  <c r="AH6" i="1"/>
  <c r="AI6" i="1"/>
  <c r="AW7" i="1"/>
  <c r="AX7" i="1" s="1"/>
  <c r="AY7" i="1"/>
  <c r="AZ7" i="1" s="1"/>
  <c r="BA7" i="1" s="1"/>
  <c r="AW9" i="1"/>
  <c r="AX9" i="1" s="1"/>
  <c r="AY9" i="1"/>
  <c r="AZ9" i="1" s="1"/>
  <c r="BA9" i="1" s="1"/>
  <c r="AW8" i="1"/>
  <c r="AX8" i="1" s="1"/>
  <c r="AY8" i="1"/>
  <c r="AZ8" i="1" s="1"/>
  <c r="BA8" i="1" s="1"/>
  <c r="AW6" i="1"/>
  <c r="AX6" i="1" s="1"/>
  <c r="AY6" i="1"/>
  <c r="AZ6" i="1" s="1"/>
  <c r="BA6" i="1" s="1"/>
  <c r="AC9" i="1"/>
  <c r="AD9" i="1"/>
  <c r="P9" i="1"/>
  <c r="O9" i="1"/>
  <c r="P8" i="1"/>
  <c r="O8" i="1"/>
  <c r="P7" i="1"/>
  <c r="O7" i="1"/>
  <c r="AD7" i="1"/>
  <c r="AC7" i="1"/>
  <c r="AC8" i="1"/>
  <c r="AD8" i="1"/>
  <c r="P6" i="1"/>
  <c r="O6" i="1"/>
  <c r="P5" i="1"/>
  <c r="O5" i="1"/>
  <c r="AW5" i="1" l="1"/>
  <c r="AX5" i="1" s="1"/>
  <c r="AY5" i="1"/>
  <c r="AZ5" i="1" s="1"/>
  <c r="BA5" i="1" s="1"/>
  <c r="AD21" i="1"/>
  <c r="AC21" i="1"/>
  <c r="AH21" i="1"/>
  <c r="AI21" i="1"/>
  <c r="Y16" i="1"/>
  <c r="Y3" i="1"/>
  <c r="Y21" i="1" s="1"/>
  <c r="Y4" i="1"/>
  <c r="Y5" i="1"/>
  <c r="Y7" i="1"/>
  <c r="Y8" i="1"/>
  <c r="Y6" i="1"/>
  <c r="Y9" i="1"/>
  <c r="AE14" i="1" l="1"/>
  <c r="AE11" i="1"/>
  <c r="AE15" i="1"/>
  <c r="Z14" i="1"/>
  <c r="AA14" i="1" s="1"/>
  <c r="Z11" i="1"/>
  <c r="G14" i="1"/>
  <c r="G11" i="1"/>
  <c r="G15" i="1"/>
  <c r="E14" i="1"/>
  <c r="D55" i="1" s="1"/>
  <c r="E11" i="1"/>
  <c r="E15" i="1"/>
  <c r="D56" i="1" s="1"/>
  <c r="E21" i="1" l="1"/>
  <c r="E22" i="1"/>
  <c r="X20" i="1" s="1"/>
  <c r="AE22" i="1"/>
  <c r="G22" i="1"/>
  <c r="G21" i="1"/>
  <c r="D52" i="1"/>
  <c r="Z22" i="1"/>
  <c r="Q15" i="1"/>
  <c r="R15" i="1" s="1"/>
  <c r="S15" i="1" s="1"/>
  <c r="Q14" i="1"/>
  <c r="R14" i="1" s="1"/>
  <c r="S14" i="1" s="1"/>
  <c r="Q11" i="1"/>
  <c r="R11" i="1" s="1"/>
  <c r="S11" i="1" s="1"/>
  <c r="K21" i="1" l="1"/>
  <c r="X21" i="1"/>
  <c r="X13" i="1"/>
  <c r="X12" i="1"/>
  <c r="X18" i="1"/>
  <c r="X17" i="1"/>
  <c r="X19" i="1"/>
  <c r="X16" i="1"/>
  <c r="X3" i="1"/>
  <c r="X4" i="1"/>
  <c r="B15" i="1" l="1"/>
  <c r="AA11" i="1" l="1"/>
  <c r="AA22" i="1" s="1"/>
  <c r="AF15" i="1"/>
  <c r="AF14" i="1"/>
  <c r="AF11" i="1"/>
  <c r="AF22" i="1" l="1"/>
  <c r="D14" i="1" l="1"/>
  <c r="D11" i="1"/>
  <c r="D15" i="1"/>
  <c r="B14" i="1"/>
  <c r="B11" i="1"/>
  <c r="D21" i="1" l="1"/>
  <c r="D22" i="1"/>
  <c r="B22" i="1"/>
  <c r="K14" i="1"/>
  <c r="H11" i="1"/>
  <c r="K15" i="1"/>
  <c r="F11" i="1"/>
  <c r="Y14" i="1"/>
  <c r="Y15" i="1"/>
  <c r="Y11" i="1"/>
  <c r="K11" i="1"/>
  <c r="H15" i="1"/>
  <c r="J15" i="1" s="1"/>
  <c r="F15" i="1"/>
  <c r="L15" i="1" s="1"/>
  <c r="J11" i="1" l="1"/>
  <c r="AU15" i="1"/>
  <c r="AV15" i="1" s="1"/>
  <c r="AU11" i="1"/>
  <c r="L11" i="1"/>
  <c r="AG15" i="1"/>
  <c r="AH15" i="1" s="1"/>
  <c r="N15" i="1"/>
  <c r="AG11" i="1"/>
  <c r="N11" i="1"/>
  <c r="AB15" i="1"/>
  <c r="AD15" i="1" s="1"/>
  <c r="T15" i="1"/>
  <c r="U15" i="1" s="1"/>
  <c r="V15" i="1"/>
  <c r="W15" i="1" s="1"/>
  <c r="T11" i="1"/>
  <c r="U11" i="1" s="1"/>
  <c r="V11" i="1"/>
  <c r="W11" i="1" s="1"/>
  <c r="AB11" i="1"/>
  <c r="AD11" i="1" l="1"/>
  <c r="AC11" i="1"/>
  <c r="AY15" i="1"/>
  <c r="AZ15" i="1" s="1"/>
  <c r="BA15" i="1" s="1"/>
  <c r="AW15" i="1"/>
  <c r="AX15" i="1" s="1"/>
  <c r="AI15" i="1"/>
  <c r="AH11" i="1"/>
  <c r="AI11" i="1"/>
  <c r="AV11" i="1"/>
  <c r="AC15" i="1"/>
  <c r="P15" i="1"/>
  <c r="O15" i="1"/>
  <c r="P11" i="1"/>
  <c r="O11" i="1"/>
  <c r="AW11" i="1" l="1"/>
  <c r="AX11" i="1" s="1"/>
  <c r="AY11" i="1"/>
  <c r="AZ11" i="1" s="1"/>
  <c r="BA11" i="1" s="1"/>
  <c r="H14" i="1" l="1"/>
  <c r="H21" i="1" l="1"/>
  <c r="J21" i="1" s="1"/>
  <c r="H22" i="1"/>
  <c r="J14" i="1"/>
  <c r="I27" i="1"/>
  <c r="J27" i="1" s="1"/>
  <c r="X9" i="1" l="1"/>
  <c r="X7" i="1"/>
  <c r="X8" i="1"/>
  <c r="X6" i="1"/>
  <c r="X5" i="1"/>
  <c r="Q22" i="1"/>
  <c r="R22" i="1" s="1"/>
  <c r="S22" i="1" s="1"/>
  <c r="X15" i="1"/>
  <c r="X11" i="1"/>
  <c r="X14" i="1"/>
  <c r="X22" i="1" l="1"/>
  <c r="Y22" i="1"/>
  <c r="J22" i="1" l="1"/>
  <c r="F14" i="1" l="1"/>
  <c r="F21" i="1" s="1"/>
  <c r="F22" i="1" l="1"/>
  <c r="L21" i="1"/>
  <c r="L14" i="1"/>
  <c r="AU14" i="1"/>
  <c r="AU21" i="1" s="1"/>
  <c r="AG14" i="1"/>
  <c r="N14" i="1"/>
  <c r="N21" i="1" s="1"/>
  <c r="P21" i="1" s="1"/>
  <c r="T14" i="1"/>
  <c r="U14" i="1" s="1"/>
  <c r="V14" i="1"/>
  <c r="W14" i="1" s="1"/>
  <c r="AB14" i="1"/>
  <c r="AB22" i="1" s="1"/>
  <c r="AD22" i="1" s="1"/>
  <c r="AH14" i="1" l="1"/>
  <c r="AH22" i="1" s="1"/>
  <c r="AG22" i="1"/>
  <c r="AI22" i="1" s="1"/>
  <c r="AV14" i="1"/>
  <c r="AV21" i="1"/>
  <c r="C27" i="1"/>
  <c r="AI14" i="1"/>
  <c r="AD14" i="1"/>
  <c r="N22" i="1"/>
  <c r="L22" i="1"/>
  <c r="AC14" i="1"/>
  <c r="AC22" i="1" s="1"/>
  <c r="O14" i="1"/>
  <c r="O21" i="1" s="1"/>
  <c r="P14" i="1"/>
  <c r="AY14" i="1" l="1"/>
  <c r="AZ14" i="1" s="1"/>
  <c r="BA14" i="1" s="1"/>
  <c r="AW14" i="1"/>
  <c r="AX14" i="1" s="1"/>
  <c r="AW21" i="1"/>
  <c r="AY21" i="1"/>
  <c r="AZ21" i="1" s="1"/>
  <c r="BA21" i="1" s="1"/>
  <c r="AW22" i="1" l="1"/>
  <c r="AX21" i="1"/>
  <c r="K22" i="1" l="1"/>
  <c r="V22" i="1" l="1"/>
  <c r="W22" i="1" s="1"/>
  <c r="T22" i="1"/>
  <c r="U22" i="1" s="1"/>
  <c r="E24" i="1" l="1"/>
  <c r="P22" i="1" l="1"/>
  <c r="O22" i="1"/>
  <c r="L24" i="1"/>
  <c r="F2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<sst xmlns="http://schemas.openxmlformats.org/spreadsheetml/2006/main" count="1166" uniqueCount="439">
  <si>
    <t>สาขา</t>
  </si>
  <si>
    <t>Yuedpao สาขา SIAM SQUARE</t>
  </si>
  <si>
    <t>Yuedpao สาขา Fashion Island</t>
  </si>
  <si>
    <t>Yuedpao สาขา Central นครสวรรค์</t>
  </si>
  <si>
    <t>Yuedpao สาขา The Mall บางกะปิ</t>
  </si>
  <si>
    <t>Yuedpao สาขา Central เชียงราย</t>
  </si>
  <si>
    <t>Yuedpao สาขา BTS สยาม</t>
  </si>
  <si>
    <t>Yuedpao สาขา BTS หมอชิต</t>
  </si>
  <si>
    <t xml:space="preserve">TARGET </t>
  </si>
  <si>
    <t>TO DAY</t>
  </si>
  <si>
    <t>AVE SALE / INV</t>
  </si>
  <si>
    <t>SALE INV Standard</t>
  </si>
  <si>
    <t>DIFT</t>
  </si>
  <si>
    <t>AVE SALE / DAY</t>
  </si>
  <si>
    <t>% TARGET</t>
  </si>
  <si>
    <t>เปรียบเทียบรายปี</t>
  </si>
  <si>
    <t>เปรียบเทียบรายเดือน</t>
  </si>
  <si>
    <t xml:space="preserve">REMARK </t>
  </si>
  <si>
    <t>ก่อนหัก VAT</t>
  </si>
  <si>
    <t>หลังหัก VAT</t>
  </si>
  <si>
    <t>IVN.</t>
  </si>
  <si>
    <t>achieve 100%</t>
  </si>
  <si>
    <t>achieve 110%</t>
  </si>
  <si>
    <t>achieve 120%</t>
  </si>
  <si>
    <t>ขาดอีก</t>
  </si>
  <si>
    <t>ขาดอีก ต่อวัน</t>
  </si>
  <si>
    <t>วันคงเหลือ</t>
  </si>
  <si>
    <t>วันนี้</t>
  </si>
  <si>
    <t>คงเหลือ</t>
  </si>
  <si>
    <t xml:space="preserve">เปรียบเทียบรายสัปดาห์			</t>
  </si>
  <si>
    <t>ยอดขายรวมทั้งหมด</t>
  </si>
  <si>
    <t>แก้ไขตัวเลข</t>
  </si>
  <si>
    <t>MIX SALE ALL GROUP</t>
  </si>
  <si>
    <t>MIX SALE GROUP AREA</t>
  </si>
  <si>
    <t>NO</t>
  </si>
  <si>
    <t>TARGET</t>
  </si>
  <si>
    <t>Yuedpao สาขา จตุจักรโครงการ 22 ริมถนน</t>
  </si>
  <si>
    <t>Yuedpao สาขา จตุจักรโครงการ 28</t>
  </si>
  <si>
    <t>Yuedpao สาขา Central Festival เชียงใหม่</t>
  </si>
  <si>
    <t>Yuedpao สาขา Central เชียงใหม่แอร์พอร์ต</t>
  </si>
  <si>
    <t>Yuedpao สาขา Central รามอินทรา</t>
  </si>
  <si>
    <t>Yuedpao สาขา จตุจักรโครงการ 6</t>
  </si>
  <si>
    <t>คงเหลือ/วัน</t>
  </si>
  <si>
    <t>#</t>
  </si>
  <si>
    <t>คลัง|สาขา</t>
  </si>
  <si>
    <t>จำนวนรายการ</t>
  </si>
  <si>
    <t>ยอดขาย(บาท)</t>
  </si>
  <si>
    <t>ยอดขาย(%)</t>
  </si>
  <si>
    <t>2</t>
  </si>
  <si>
    <t>Yuedpao สาขา Future Park Rangsit ชั้น 3</t>
  </si>
  <si>
    <t>3</t>
  </si>
  <si>
    <t>Yuedpao สาขา Central พัทยา</t>
  </si>
  <si>
    <t>4</t>
  </si>
  <si>
    <t>Yuedpao สาขา Central ลาดพร้าว</t>
  </si>
  <si>
    <t>5</t>
  </si>
  <si>
    <t>6</t>
  </si>
  <si>
    <t>Yuedpao สาขา Central เวสต์เกต</t>
  </si>
  <si>
    <t>7</t>
  </si>
  <si>
    <t>Yuedpao สาขา Central ขอนแก่น</t>
  </si>
  <si>
    <t>Yuedpao สาขา Central ศาลายา</t>
  </si>
  <si>
    <t>9</t>
  </si>
  <si>
    <t>Yuedpao สาขา Central สุราษฎร์ธานี</t>
  </si>
  <si>
    <t>10</t>
  </si>
  <si>
    <t>Yuedpao สาขา Robinson บ่อวิน</t>
  </si>
  <si>
    <t>12</t>
  </si>
  <si>
    <t>Yuedpao สาขา Central หาดใหญ่</t>
  </si>
  <si>
    <t>13</t>
  </si>
  <si>
    <t>Yuedpao สาขา Central พระราม 2</t>
  </si>
  <si>
    <t>14</t>
  </si>
  <si>
    <t>Yuedpao สาขา Central พิษณุโลก</t>
  </si>
  <si>
    <t>16</t>
  </si>
  <si>
    <t>Yuedpao สาขา The Mall งามวงศ์วาน</t>
  </si>
  <si>
    <t>17</t>
  </si>
  <si>
    <t>Yuedpao สาขา Central จันทบุรี</t>
  </si>
  <si>
    <t>Yuedpao สาขา Future Park Rangsit (Flagship store)</t>
  </si>
  <si>
    <t>19</t>
  </si>
  <si>
    <t>20</t>
  </si>
  <si>
    <t>Yuedpao สาขา Central ระยอง</t>
  </si>
  <si>
    <t>21</t>
  </si>
  <si>
    <t>Yuedpao สาขา Central นครศรีธรรมราช</t>
  </si>
  <si>
    <t>23</t>
  </si>
  <si>
    <t>Yuedpao สาขา Central ปิ่นเกล้า</t>
  </si>
  <si>
    <t>24</t>
  </si>
  <si>
    <t>25</t>
  </si>
  <si>
    <t>Yuedpao สาขา The Mall บางแค</t>
  </si>
  <si>
    <t>26</t>
  </si>
  <si>
    <t>Yuedpao สาขา Central สมุย</t>
  </si>
  <si>
    <t>27</t>
  </si>
  <si>
    <t>Yuedpao สาขา Central ภูเก็ต</t>
  </si>
  <si>
    <t>28</t>
  </si>
  <si>
    <t>29</t>
  </si>
  <si>
    <t>Yuedpao สาขา Central อุดรธานี</t>
  </si>
  <si>
    <t>30</t>
  </si>
  <si>
    <t>Yuedpao สาขา Robinson ฉะเชิงเทรา</t>
  </si>
  <si>
    <t>31</t>
  </si>
  <si>
    <t>Yuedpao สาขา Central มหาชัย</t>
  </si>
  <si>
    <t>32</t>
  </si>
  <si>
    <t>Yuedpao สาขา Robinson สุพรรณบุรี</t>
  </si>
  <si>
    <t>34</t>
  </si>
  <si>
    <t>Yuedpao สาขา Central ลำปาง</t>
  </si>
  <si>
    <t>Yuedpao สาขา Central อยุธยา</t>
  </si>
  <si>
    <t>36</t>
  </si>
  <si>
    <t>Yuedpao สาขา Mega บางนา</t>
  </si>
  <si>
    <t>37</t>
  </si>
  <si>
    <t>Yuedpao สาขา Central พระราม 9</t>
  </si>
  <si>
    <t>38</t>
  </si>
  <si>
    <t>Yuedpao สาขา Central World</t>
  </si>
  <si>
    <t>39</t>
  </si>
  <si>
    <t>Yuedpao สาขา The Mall โคราช</t>
  </si>
  <si>
    <t>40</t>
  </si>
  <si>
    <t>Yuedpao สาขา Robinson ลพบุรี</t>
  </si>
  <si>
    <t>41</t>
  </si>
  <si>
    <t>42</t>
  </si>
  <si>
    <t>Yuedpao สาขา Central ชลบุรี</t>
  </si>
  <si>
    <t>43</t>
  </si>
  <si>
    <t>Yuedpao สาขา The Mall ท่าพระ</t>
  </si>
  <si>
    <t>44</t>
  </si>
  <si>
    <t>46</t>
  </si>
  <si>
    <t>Yuedpao สาขา Central พระราม 3</t>
  </si>
  <si>
    <t>47</t>
  </si>
  <si>
    <t>48</t>
  </si>
  <si>
    <t>Yuedpao สาขา Central ศรีราชา</t>
  </si>
  <si>
    <t>49</t>
  </si>
  <si>
    <t>50</t>
  </si>
  <si>
    <t>Yuedpao สาขา Robinson ราชพฤกษ์</t>
  </si>
  <si>
    <t>51</t>
  </si>
  <si>
    <t>Yuedpao สาขา Robinson บ้านฉาง</t>
  </si>
  <si>
    <t>52</t>
  </si>
  <si>
    <t>Yuedpao สาขา Central โคราช</t>
  </si>
  <si>
    <t>54</t>
  </si>
  <si>
    <t>55</t>
  </si>
  <si>
    <t>Yuedpao สาขา Robinson ฉลอง ภูเก็ต</t>
  </si>
  <si>
    <t>57</t>
  </si>
  <si>
    <t>59</t>
  </si>
  <si>
    <t>60</t>
  </si>
  <si>
    <t>61</t>
  </si>
  <si>
    <t>62</t>
  </si>
  <si>
    <t>64</t>
  </si>
  <si>
    <t>66</t>
  </si>
  <si>
    <t>Exported by</t>
  </si>
  <si>
    <t>janjoncj@gmail.com</t>
  </si>
  <si>
    <t>Date Time</t>
  </si>
  <si>
    <t>Yuedpao สาขา Central อุบลราชธานี</t>
  </si>
  <si>
    <t>Yuedpao สาขา Passione Shopping Destination ระยอง</t>
  </si>
  <si>
    <t>Yuedpao สาขา Central นครปฐม</t>
  </si>
  <si>
    <t>Yuedpao สาขา Seacon Square ศรีนครินทร์</t>
  </si>
  <si>
    <t>11</t>
  </si>
  <si>
    <t>15</t>
  </si>
  <si>
    <t>22</t>
  </si>
  <si>
    <t>45</t>
  </si>
  <si>
    <t>65</t>
  </si>
  <si>
    <t>67</t>
  </si>
  <si>
    <t>Yuedpao สาขา Market Village สุวรรณภูมิ</t>
  </si>
  <si>
    <t>68</t>
  </si>
  <si>
    <t>1</t>
  </si>
  <si>
    <t>คลังสินค้า Yuedpao Online</t>
  </si>
  <si>
    <t>8</t>
  </si>
  <si>
    <t>18</t>
  </si>
  <si>
    <t>คลังลูกค้าส่ง Yuedpao</t>
  </si>
  <si>
    <t>33</t>
  </si>
  <si>
    <t>35</t>
  </si>
  <si>
    <t>53</t>
  </si>
  <si>
    <t>56</t>
  </si>
  <si>
    <t>58</t>
  </si>
  <si>
    <t>63</t>
  </si>
  <si>
    <t>Yuedpao สาขา Robinson บุรีรัมย์</t>
  </si>
  <si>
    <t>69</t>
  </si>
  <si>
    <t>70</t>
  </si>
  <si>
    <t>TARGET +V7%</t>
  </si>
  <si>
    <t>Event Big C สุขสวัสดิ์</t>
  </si>
  <si>
    <t>Yuedpao สาขา Robinson ลาดกระบัง</t>
  </si>
  <si>
    <t>SALE OUT</t>
  </si>
  <si>
    <t>Yuedpao สาขา Robinson ปราจีนบุรี</t>
  </si>
  <si>
    <t>71</t>
  </si>
  <si>
    <t>72</t>
  </si>
  <si>
    <t>73</t>
  </si>
  <si>
    <t>SHOP</t>
  </si>
  <si>
    <t>74</t>
  </si>
  <si>
    <t>75</t>
  </si>
  <si>
    <t>คงเหลือ 110</t>
  </si>
  <si>
    <t>คงเหลือ 120</t>
  </si>
  <si>
    <t>0%</t>
  </si>
  <si>
    <t>คลังสินค้ารับคืน Yuedpao Online</t>
  </si>
  <si>
    <t>คลังสินค้าโล๊ะล้างสต๊อก(เสื้อตำหนิ)</t>
  </si>
  <si>
    <t>Yuedpao สาขา The Street รัชดา</t>
  </si>
  <si>
    <t>76</t>
  </si>
  <si>
    <t>77</t>
  </si>
  <si>
    <t>Yuedpao สาขา MAYA เชียงใหม่</t>
  </si>
  <si>
    <t>Yuedpao สาขา Imperial World สำโรง</t>
  </si>
  <si>
    <t>SALE +7%</t>
  </si>
  <si>
    <t>Yuedpao สาขา Robinson มุกดาหาร</t>
  </si>
  <si>
    <t>Event Central แจ้งวัฒนะ</t>
  </si>
  <si>
    <t>ยอดขาย</t>
  </si>
  <si>
    <t>AVL Sale</t>
  </si>
  <si>
    <t>Estimate</t>
  </si>
  <si>
    <t>Achieve</t>
  </si>
  <si>
    <t>Yuedpao สาขา Big C ยะลา</t>
  </si>
  <si>
    <t>Yuedpao สาขา Robinson ราชบุรี</t>
  </si>
  <si>
    <t>Yuedpao สาขา I am China Town</t>
  </si>
  <si>
    <t>0.64%</t>
  </si>
  <si>
    <t xml:space="preserve">TOTAL SAME STORE </t>
  </si>
  <si>
    <t>78</t>
  </si>
  <si>
    <t>79</t>
  </si>
  <si>
    <t>80</t>
  </si>
  <si>
    <t>81</t>
  </si>
  <si>
    <t>82</t>
  </si>
  <si>
    <t>TOTAL ALL STORE</t>
  </si>
  <si>
    <t>Target</t>
  </si>
  <si>
    <t>%Target</t>
  </si>
  <si>
    <t xml:space="preserve">Exchange Store </t>
  </si>
  <si>
    <t>Yuedpao สาขา Robinson สระบุรี</t>
  </si>
  <si>
    <t>Yuedpao สาขา Robinson ชลบุรี</t>
  </si>
  <si>
    <t>83</t>
  </si>
  <si>
    <t>ยอดรวม</t>
  </si>
  <si>
    <t>ยอดขายเฉลี่ยนต่อวัน</t>
  </si>
  <si>
    <t>Sale Estimate</t>
  </si>
  <si>
    <t>SALE OUT ESTIMATE</t>
  </si>
  <si>
    <t>84</t>
  </si>
  <si>
    <t>85</t>
  </si>
  <si>
    <t>86</t>
  </si>
  <si>
    <t>คลังโล๊ะล้างสต็อก Yuedpao สาขา SIAM SQUARE(เสื้อตำหนิ)</t>
  </si>
  <si>
    <t>คลังรับคืน สินค้าโล๊ะล้างสต๊อก(เสื้อตำหนิ)</t>
  </si>
  <si>
    <t>-0%</t>
  </si>
  <si>
    <t>0.46%</t>
  </si>
  <si>
    <t>SALE OUT ESTIMATE +50%</t>
  </si>
  <si>
    <t xml:space="preserve"> </t>
  </si>
  <si>
    <t>Yuedpao สาขา Robinson ศรีสมาน</t>
  </si>
  <si>
    <t>0.45%</t>
  </si>
  <si>
    <t>Yuedpao สาขา Robinson ตรัง</t>
  </si>
  <si>
    <t>Yuedpao สาขา Robinson ชัยภูมิ</t>
  </si>
  <si>
    <t>Yuedpao สาขา Robinson ร้อยเอ็ด</t>
  </si>
  <si>
    <t>Yuedpao สาขา Central กระบี่</t>
  </si>
  <si>
    <t>Yuedpao สาขา The Mall งามวงศ์วาน (Sport Shop)</t>
  </si>
  <si>
    <t>87</t>
  </si>
  <si>
    <t>88</t>
  </si>
  <si>
    <t>89</t>
  </si>
  <si>
    <t>90</t>
  </si>
  <si>
    <t>91</t>
  </si>
  <si>
    <t>Event สหไทย ทุ่งสง (นครศรีธรรมราช)</t>
  </si>
  <si>
    <t>Yuedpao สาขา Robinson แม่สอด</t>
  </si>
  <si>
    <t>OPEN 01 NOV 2024</t>
  </si>
  <si>
    <t>Yuedpao สาขา Big C อำนาจเจริญ</t>
  </si>
  <si>
    <t>Yuedpao สาขา Big C ราชดำริ</t>
  </si>
  <si>
    <t>92</t>
  </si>
  <si>
    <t>93</t>
  </si>
  <si>
    <t>0.8%</t>
  </si>
  <si>
    <t>Event Bluport หัวหิน</t>
  </si>
  <si>
    <t>Yuedpao สาขา Robinson สมุทรปราการ</t>
  </si>
  <si>
    <t>Yuedpao สาขา Sermthai Complex มหาสารคาม</t>
  </si>
  <si>
    <t>Fulfillment Shopee</t>
  </si>
  <si>
    <t>0.69%</t>
  </si>
  <si>
    <t>26-01</t>
  </si>
  <si>
    <t>0.47%</t>
  </si>
  <si>
    <t>คลังสินค้าหลัก Yuedpao</t>
  </si>
  <si>
    <t>94</t>
  </si>
  <si>
    <t>95</t>
  </si>
  <si>
    <t>96</t>
  </si>
  <si>
    <t>97</t>
  </si>
  <si>
    <t>98</t>
  </si>
  <si>
    <t>OPEN 01 AUN 2024</t>
  </si>
  <si>
    <t>REROCATE  16 DEC 2025</t>
  </si>
  <si>
    <t>OPEN 20 DEC 2024</t>
  </si>
  <si>
    <t>OPEN 01 JUN 2024</t>
  </si>
  <si>
    <t>OPEN 15 NOV 2024</t>
  </si>
  <si>
    <t>REROCATE  01 DEC 2024</t>
  </si>
  <si>
    <t>REROCATE  05 FEB 2024</t>
  </si>
  <si>
    <t>Yuedpao สาขา Robinson ถลาง ภูเก็ต</t>
  </si>
  <si>
    <t>0.9%</t>
  </si>
  <si>
    <t>0.68%</t>
  </si>
  <si>
    <t>0.65%</t>
  </si>
  <si>
    <t>99</t>
  </si>
  <si>
    <t>Event PiXXiE Tales Concert : The Enchanted Ceremony</t>
  </si>
  <si>
    <t>Event Muuji Festival 2026</t>
  </si>
  <si>
    <t>0.22%</t>
  </si>
  <si>
    <t>0.71%</t>
  </si>
  <si>
    <t>0.54%</t>
  </si>
  <si>
    <t>Event Friday อุตรดิตถ์</t>
  </si>
  <si>
    <t>คลังพัสดุ (คอนเสิร์ต)</t>
  </si>
  <si>
    <t>0.33%</t>
  </si>
  <si>
    <t>Yuedpao สาขา Lotus สามกอง ภูเก็ต</t>
  </si>
  <si>
    <t>0.48%</t>
  </si>
  <si>
    <t>0.37%</t>
  </si>
  <si>
    <t>0.4%</t>
  </si>
  <si>
    <t>0.7%</t>
  </si>
  <si>
    <t>0.5%</t>
  </si>
  <si>
    <t>0.11%</t>
  </si>
  <si>
    <t>0.01%</t>
  </si>
  <si>
    <t>TARGET FEB 2026</t>
  </si>
  <si>
    <t>Yuedpao สาขา Sahathai สุราษฎร์ธานี</t>
  </si>
  <si>
    <t>FEB'2026</t>
  </si>
  <si>
    <t>0.67%</t>
  </si>
  <si>
    <t>0.59%</t>
  </si>
  <si>
    <t>0.38%</t>
  </si>
  <si>
    <t>Event แจ่มฟ้าลำพูน</t>
  </si>
  <si>
    <t>Event Big C ตะกั่วป่า พังงา</t>
  </si>
  <si>
    <t>คลังเทสระบบ</t>
  </si>
  <si>
    <t>02-08</t>
  </si>
  <si>
    <t>0.77%</t>
  </si>
  <si>
    <t>0.82%</t>
  </si>
  <si>
    <t>0.27%</t>
  </si>
  <si>
    <t>คลังลูกค้าส่ง Yuedpao 2</t>
  </si>
  <si>
    <t>0.44%</t>
  </si>
  <si>
    <t>0.12%</t>
  </si>
  <si>
    <t>0.6%</t>
  </si>
  <si>
    <t>0.23%</t>
  </si>
  <si>
    <t>0.18%</t>
  </si>
  <si>
    <t>0.03%</t>
  </si>
  <si>
    <t>0.72%</t>
  </si>
  <si>
    <t>0.89%</t>
  </si>
  <si>
    <t>0.56%</t>
  </si>
  <si>
    <t>0.87%</t>
  </si>
  <si>
    <t>0.49%</t>
  </si>
  <si>
    <t>0.42%</t>
  </si>
  <si>
    <t>Event Pet Variety CNX</t>
  </si>
  <si>
    <t>0.13%</t>
  </si>
  <si>
    <t>Event Vogue กระบี่</t>
  </si>
  <si>
    <t>0.16%</t>
  </si>
  <si>
    <t>MAR'2026</t>
  </si>
  <si>
    <t>Event Major รัชโยธิน</t>
  </si>
  <si>
    <t>0.32%</t>
  </si>
  <si>
    <t>0.09%</t>
  </si>
  <si>
    <t>T-PET x T-POP FESTIVAL 2569</t>
  </si>
  <si>
    <t>0.88%</t>
  </si>
  <si>
    <t>09-15</t>
  </si>
  <si>
    <t>16-22</t>
  </si>
  <si>
    <t>23-29</t>
  </si>
  <si>
    <t>Yuedpao สาขา Central แจ้งวัฒนะ</t>
  </si>
  <si>
    <t>Yuedpao สาขา Robinson กำแพงเพชร</t>
  </si>
  <si>
    <t>OPEN 16 MAR 2026</t>
  </si>
  <si>
    <t>0.78%</t>
  </si>
  <si>
    <t>0.57%</t>
  </si>
  <si>
    <t>Event Robinson สกลนคร</t>
  </si>
  <si>
    <t>Event Central บางนา</t>
  </si>
  <si>
    <t>Crayon Shinchan</t>
  </si>
  <si>
    <t>Event Century อ่อนนุช</t>
  </si>
  <si>
    <t>100</t>
  </si>
  <si>
    <t>0.66%</t>
  </si>
  <si>
    <t>0.58%</t>
  </si>
  <si>
    <t>0.53%</t>
  </si>
  <si>
    <t>0.39%</t>
  </si>
  <si>
    <t>0.31%</t>
  </si>
  <si>
    <t>Event HAPPY 6TH BIRTHDAY MOOTOO gether</t>
  </si>
  <si>
    <t>Event Mixt Chatuchak</t>
  </si>
  <si>
    <t>101</t>
  </si>
  <si>
    <t>102</t>
  </si>
  <si>
    <t>Event Robinson ตรัง</t>
  </si>
  <si>
    <t>มูลนิธิ Greenwave</t>
  </si>
  <si>
    <t>Event The Ocean ชุมพร</t>
  </si>
  <si>
    <t>Event Market Village หัวหิน</t>
  </si>
  <si>
    <t>Yuedpao สินค้าสั่งผลิต</t>
  </si>
  <si>
    <t>0.81%</t>
  </si>
  <si>
    <t>0.43%</t>
  </si>
  <si>
    <t>0.29%</t>
  </si>
  <si>
    <t>Event Century อนุสาวรีย์</t>
  </si>
  <si>
    <t>103</t>
  </si>
  <si>
    <t>Event Central โคราช</t>
  </si>
  <si>
    <t>Event Longlay Festival 2025</t>
  </si>
  <si>
    <t>0.02%</t>
  </si>
  <si>
    <t>คลังพัสดุ Yuedpao(คลังสินค้า)</t>
  </si>
  <si>
    <t>คลังสินค้ามีตำหนิ Yuedpao</t>
  </si>
  <si>
    <t>0.95%</t>
  </si>
  <si>
    <t>0.52%</t>
  </si>
  <si>
    <t>0.08%</t>
  </si>
  <si>
    <t>0.75%</t>
  </si>
  <si>
    <t>0.55%</t>
  </si>
  <si>
    <t>104</t>
  </si>
  <si>
    <t>1.08%</t>
  </si>
  <si>
    <t>0.74%</t>
  </si>
  <si>
    <t>0.17%</t>
  </si>
  <si>
    <t>Event Fashion Island</t>
  </si>
  <si>
    <t>0.04%</t>
  </si>
  <si>
    <t>1.05%</t>
  </si>
  <si>
    <t>0.79%</t>
  </si>
  <si>
    <t>1%</t>
  </si>
  <si>
    <t>0.35%</t>
  </si>
  <si>
    <t>Event งานสัปดาห์หนังสือแห่งชาติ ครั้งที่ 54</t>
  </si>
  <si>
    <t>105</t>
  </si>
  <si>
    <t>Yuedpao สาขา Robinson กาญจนบุรี</t>
  </si>
  <si>
    <t>106</t>
  </si>
  <si>
    <t>0.28%</t>
  </si>
  <si>
    <t>0.07%</t>
  </si>
  <si>
    <t>1.21%</t>
  </si>
  <si>
    <t>0.61%</t>
  </si>
  <si>
    <t>0.1%</t>
  </si>
  <si>
    <t>0.97%</t>
  </si>
  <si>
    <t>0.2%</t>
  </si>
  <si>
    <t>ว่าง (คลังเก่าคือ Event Vogue กระบี่)</t>
  </si>
  <si>
    <t>1.09%</t>
  </si>
  <si>
    <t>0.86%</t>
  </si>
  <si>
    <t>0.36%</t>
  </si>
  <si>
    <t>ยอดขายรายคลัง|สาขา 1/2/2569 - 28/2/2569</t>
  </si>
  <si>
    <t>49.32%</t>
  </si>
  <si>
    <t>1.46%</t>
  </si>
  <si>
    <t>1.24%</t>
  </si>
  <si>
    <t>1.18%</t>
  </si>
  <si>
    <t>1.07%</t>
  </si>
  <si>
    <t>1.01%</t>
  </si>
  <si>
    <t>0.92%</t>
  </si>
  <si>
    <t>0.91%</t>
  </si>
  <si>
    <t>0.26%</t>
  </si>
  <si>
    <t>107</t>
  </si>
  <si>
    <t>-0.9%</t>
  </si>
  <si>
    <t>29/3/2026 15:35+07:00</t>
  </si>
  <si>
    <t>-0.39%</t>
  </si>
  <si>
    <t>0.98%</t>
  </si>
  <si>
    <t>0.73%</t>
  </si>
  <si>
    <t>0.51%</t>
  </si>
  <si>
    <t>-0.01%</t>
  </si>
  <si>
    <t>1.8%</t>
  </si>
  <si>
    <t>1.27%</t>
  </si>
  <si>
    <t>1.13%</t>
  </si>
  <si>
    <t>ยอดขายรายคลัง|สาขา 1/3/2568 - 31/3/2568</t>
  </si>
  <si>
    <t>39.05%</t>
  </si>
  <si>
    <t>1.73%</t>
  </si>
  <si>
    <t>1.63%</t>
  </si>
  <si>
    <t>1.53%</t>
  </si>
  <si>
    <t>1.47%</t>
  </si>
  <si>
    <t>1.42%</t>
  </si>
  <si>
    <t>1.39%</t>
  </si>
  <si>
    <t>1.25%</t>
  </si>
  <si>
    <t>1.23%</t>
  </si>
  <si>
    <t>0.96%</t>
  </si>
  <si>
    <t>0.83%</t>
  </si>
  <si>
    <t>30/3/2026 17:16+07:00</t>
  </si>
  <si>
    <t>Event Robinson สุรินทร์</t>
  </si>
  <si>
    <t>-1.15%</t>
  </si>
  <si>
    <t>1.2%</t>
  </si>
  <si>
    <t>คลังสินค้ารอนับ YUEDPAO</t>
  </si>
  <si>
    <t>108</t>
  </si>
  <si>
    <t>01-31 MAR 2026</t>
  </si>
  <si>
    <t>ยอดขายรายคลัง|สาขา 1/3/2569 - 31/3/2569</t>
  </si>
  <si>
    <t>53.41%</t>
  </si>
  <si>
    <t>1.16%</t>
  </si>
  <si>
    <t>0.21%</t>
  </si>
  <si>
    <t>0.14%</t>
  </si>
  <si>
    <t>2/4/2026 00:56+07:00</t>
  </si>
  <si>
    <t>ปิดสาขาถาวร วันที่ 14 MAR 2026</t>
  </si>
  <si>
    <t>In Vat</t>
  </si>
  <si>
    <t>Ex 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</si>
</sst>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87" formatCode="_(* #,##0_);_(* \(#,##0\);_(* &quot;-&quot;??_);_(@_)"/>
    <numFmt numFmtId="188" formatCode="&quot;฿&quot;#,##0.00"/>
    <numFmt numFmtId="189" formatCode="[Blue]#,##0.00;[Red]\(#,##0.00\);[Black]0.00"/>
    <numFmt numFmtId="191" formatCode="0.00%;[Red]\-0.00%"/>
    <numFmt numFmtId="192" formatCode="#,000;[Red]\-#,000"/>
  </numFmts>
  <fonts count="23" x14ac:knownFonts="1"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12"/>
      <name val="Calibri"/>
      <family val="2"/>
    </font>
    <font>
      <sz val="12"/>
      <name val="Calibri"/>
      <family val="2"/>
    </font>
    <font>
      <sz val="12"/>
      <color theme="1"/>
      <name val="Helvetica Neue"/>
      <family val="2"/>
    </font>
    <font>
      <b/>
      <sz val="18"/>
      <color theme="1"/>
      <name val="Tahoma"/>
      <family val="2"/>
    </font>
    <font>
      <b/>
      <sz val="14"/>
      <color theme="1"/>
      <name val="Tahoma"/>
      <family val="2"/>
    </font>
    <font>
      <b/>
      <sz val="14"/>
      <name val="Tahoma"/>
      <family val="2"/>
    </font>
    <font>
      <b/>
      <sz val="14"/>
      <color rgb="FFFF0000"/>
      <name val="Tahoma"/>
      <family val="2"/>
    </font>
    <font>
      <b/>
      <sz val="14"/>
      <color rgb="FF000000"/>
      <name val="Tahoma"/>
      <family val="2"/>
    </font>
    <font>
      <b/>
      <sz val="14"/>
      <color theme="0"/>
      <name val="Tahoma"/>
      <family val="2"/>
    </font>
    <font>
      <b/>
      <sz val="14"/>
      <color rgb="FF0100D5"/>
      <name val="Tahoma"/>
      <family val="2"/>
    </font>
    <font>
      <b/>
      <sz val="12"/>
      <color rgb="FFFF0000"/>
      <name val="Tahoma"/>
      <family val="2"/>
    </font>
    <font>
      <b/>
      <sz val="18"/>
      <name val="Tahoma"/>
      <family val="2"/>
    </font>
    <font>
      <b/>
      <sz val="16"/>
      <color theme="1"/>
      <name val="Tahoma"/>
      <family val="2"/>
    </font>
    <font>
      <b/>
      <sz val="16"/>
      <name val="Tahoma"/>
      <family val="2"/>
    </font>
    <font>
      <sz val="12"/>
      <color theme="1"/>
      <name val="Arial"/>
      <family val="2"/>
    </font>
    <font>
      <b/>
      <sz val="14"/>
      <color theme="4"/>
      <name val="Tahoma"/>
      <family val="2"/>
    </font>
    <font>
      <b/>
      <sz val="16"/>
      <color rgb="FFFF0000"/>
      <name val="Tahoma"/>
      <family val="2"/>
    </font>
    <font>
      <b/>
      <sz val="12"/>
      <color theme="1"/>
      <name val="Tahoma"/>
      <family val="2"/>
    </font>
    <font>
      <sz val="10"/>
      <color theme="1"/>
      <name val="Sarabun"/>
      <family val="2"/>
      <charset val="222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0CECE"/>
      </patternFill>
    </fill>
    <fill>
      <patternFill patternType="solid">
        <f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4A402"/>
        <bgColor indexed="64"/>
      </patternFill>
    </fill>
    <fill>
      <patternFill patternType="solid">
        <fgColor rgb="FFDEEBF8"/>
        <bgColor indexed="64"/>
      </patternFill>
    </fill>
    <fill>
      <patternFill patternType="solid">
        <fgColor rgb="FFEBF9F1"/>
        <bgColor indexed="64"/>
      </patternFill>
    </fill>
    <fill>
      <patternFill patternType="solid">
        <fgColor rgb="FFECFAF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7"/>
        <bgColor indexed="64"/>
      </patternFill>
    </fill>
    <fill>
      <patternFill patternType="solid">
        <fgColor rgb="FFEDF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FCF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" fillId="0" borderId="0"/>
  </cellStyleXfs>
  <cellXfs count="181">
    <xf numFmtId="0" fontId="0" fillId="0" borderId="0" xfId="0"/>
    <xf numFmtId="0" fontId="4" fillId="5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89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4" borderId="0" xfId="0" applyFont="1" applyFill="1"/>
    <xf numFmtId="0" fontId="7" fillId="9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vertical="center"/>
    </xf>
    <xf numFmtId="187" fontId="7" fillId="0" borderId="4" xfId="1" applyNumberFormat="1" applyFont="1" applyFill="1" applyBorder="1" applyAlignment="1">
      <alignment vertical="center"/>
    </xf>
    <xf numFmtId="3" fontId="7" fillId="0" borderId="4" xfId="0" applyNumberFormat="1" applyFont="1" applyBorder="1" applyAlignment="1">
      <alignment vertical="center"/>
    </xf>
    <xf numFmtId="43" fontId="7" fillId="0" borderId="4" xfId="1" applyFont="1" applyFill="1" applyBorder="1" applyAlignment="1">
      <alignment vertical="center"/>
    </xf>
    <xf numFmtId="187" fontId="7" fillId="9" borderId="4" xfId="1" applyNumberFormat="1" applyFont="1" applyFill="1" applyBorder="1" applyAlignment="1">
      <alignment vertical="center"/>
    </xf>
    <xf numFmtId="3" fontId="7" fillId="9" borderId="4" xfId="0" applyNumberFormat="1" applyFont="1" applyFill="1" applyBorder="1" applyAlignment="1">
      <alignment vertical="center"/>
    </xf>
    <xf numFmtId="43" fontId="7" fillId="9" borderId="4" xfId="1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187" fontId="8" fillId="3" borderId="4" xfId="0" applyNumberFormat="1" applyFont="1" applyFill="1" applyBorder="1" applyAlignment="1">
      <alignment horizontal="left" vertical="center"/>
    </xf>
    <xf numFmtId="187" fontId="9" fillId="3" borderId="4" xfId="1" applyNumberFormat="1" applyFont="1" applyFill="1" applyBorder="1" applyAlignment="1">
      <alignment vertical="center"/>
    </xf>
    <xf numFmtId="187" fontId="9" fillId="0" borderId="4" xfId="0" applyNumberFormat="1" applyFont="1" applyBorder="1" applyAlignment="1">
      <alignment horizontal="center" vertical="center"/>
    </xf>
    <xf numFmtId="191" fontId="9" fillId="3" borderId="4" xfId="0" applyNumberFormat="1" applyFont="1" applyFill="1" applyBorder="1" applyAlignment="1">
      <alignment vertical="center"/>
    </xf>
    <xf numFmtId="4" fontId="9" fillId="0" borderId="4" xfId="1" applyNumberFormat="1" applyFont="1" applyFill="1" applyBorder="1" applyAlignment="1">
      <alignment horizontal="center" vertical="center"/>
    </xf>
    <xf numFmtId="187" fontId="9" fillId="8" borderId="4" xfId="1" applyNumberFormat="1" applyFont="1" applyFill="1" applyBorder="1" applyAlignment="1">
      <alignment vertical="center"/>
    </xf>
    <xf numFmtId="3" fontId="9" fillId="0" borderId="4" xfId="1" applyNumberFormat="1" applyFont="1" applyFill="1" applyBorder="1" applyAlignment="1">
      <alignment vertical="center"/>
    </xf>
    <xf numFmtId="10" fontId="9" fillId="0" borderId="4" xfId="5" applyNumberFormat="1" applyFont="1" applyFill="1" applyBorder="1" applyAlignment="1">
      <alignment vertical="center"/>
    </xf>
    <xf numFmtId="187" fontId="9" fillId="0" borderId="4" xfId="1" applyNumberFormat="1" applyFont="1" applyFill="1" applyBorder="1" applyAlignment="1">
      <alignment vertical="center"/>
    </xf>
    <xf numFmtId="4" fontId="9" fillId="0" borderId="4" xfId="0" applyNumberFormat="1" applyFont="1" applyBorder="1" applyAlignment="1">
      <alignment vertical="center"/>
    </xf>
    <xf numFmtId="10" fontId="8" fillId="3" borderId="4" xfId="5" applyNumberFormat="1" applyFont="1" applyFill="1" applyBorder="1" applyAlignment="1">
      <alignment vertical="center"/>
    </xf>
    <xf numFmtId="187" fontId="9" fillId="10" borderId="4" xfId="1" applyNumberFormat="1" applyFont="1" applyFill="1" applyBorder="1" applyAlignment="1">
      <alignment vertical="center"/>
    </xf>
    <xf numFmtId="187" fontId="8" fillId="0" borderId="4" xfId="1" applyNumberFormat="1" applyFont="1" applyFill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192" fontId="8" fillId="0" borderId="4" xfId="1" applyNumberFormat="1" applyFont="1" applyFill="1" applyBorder="1" applyAlignment="1">
      <alignment vertical="center"/>
    </xf>
    <xf numFmtId="191" fontId="9" fillId="0" borderId="4" xfId="0" applyNumberFormat="1" applyFont="1" applyBorder="1" applyAlignment="1">
      <alignment vertical="center"/>
    </xf>
    <xf numFmtId="0" fontId="9" fillId="9" borderId="3" xfId="0" applyFont="1" applyFill="1" applyBorder="1" applyAlignment="1">
      <alignment horizontal="center" vertical="center"/>
    </xf>
    <xf numFmtId="187" fontId="9" fillId="9" borderId="4" xfId="0" applyNumberFormat="1" applyFont="1" applyFill="1" applyBorder="1" applyAlignment="1">
      <alignment horizontal="left" vertical="center"/>
    </xf>
    <xf numFmtId="187" fontId="9" fillId="9" borderId="4" xfId="1" applyNumberFormat="1" applyFont="1" applyFill="1" applyBorder="1" applyAlignment="1">
      <alignment vertical="center"/>
    </xf>
    <xf numFmtId="1" fontId="9" fillId="9" borderId="4" xfId="1" applyNumberFormat="1" applyFont="1" applyFill="1" applyBorder="1" applyAlignment="1">
      <alignment horizontal="center" vertical="center"/>
    </xf>
    <xf numFmtId="10" fontId="9" fillId="9" borderId="4" xfId="5" applyNumberFormat="1" applyFont="1" applyFill="1" applyBorder="1" applyAlignment="1">
      <alignment vertical="center"/>
    </xf>
    <xf numFmtId="10" fontId="9" fillId="9" borderId="4" xfId="5" applyNumberFormat="1" applyFont="1" applyFill="1" applyBorder="1" applyAlignment="1">
      <alignment horizontal="center" vertical="center"/>
    </xf>
    <xf numFmtId="9" fontId="9" fillId="9" borderId="4" xfId="5" applyFont="1" applyFill="1" applyBorder="1" applyAlignment="1">
      <alignment vertical="center"/>
    </xf>
    <xf numFmtId="0" fontId="9" fillId="9" borderId="4" xfId="0" applyFont="1" applyFill="1" applyBorder="1" applyAlignment="1">
      <alignment horizontal="center" vertical="center"/>
    </xf>
    <xf numFmtId="187" fontId="9" fillId="9" borderId="4" xfId="0" applyNumberFormat="1" applyFont="1" applyFill="1" applyBorder="1" applyAlignment="1">
      <alignment vertical="center"/>
    </xf>
    <xf numFmtId="191" fontId="9" fillId="9" borderId="4" xfId="0" applyNumberFormat="1" applyFont="1" applyFill="1" applyBorder="1" applyAlignment="1">
      <alignment vertical="center"/>
    </xf>
    <xf numFmtId="4" fontId="9" fillId="9" borderId="4" xfId="1" applyNumberFormat="1" applyFont="1" applyFill="1" applyBorder="1" applyAlignment="1">
      <alignment horizontal="center" vertical="center"/>
    </xf>
    <xf numFmtId="187" fontId="9" fillId="9" borderId="4" xfId="5" applyNumberFormat="1" applyFont="1" applyFill="1" applyBorder="1" applyAlignment="1">
      <alignment vertical="center"/>
    </xf>
    <xf numFmtId="3" fontId="9" fillId="9" borderId="4" xfId="1" applyNumberFormat="1" applyFont="1" applyFill="1" applyBorder="1" applyAlignment="1">
      <alignment vertical="center"/>
    </xf>
    <xf numFmtId="10" fontId="9" fillId="9" borderId="4" xfId="0" applyNumberFormat="1" applyFont="1" applyFill="1" applyBorder="1" applyAlignment="1">
      <alignment vertical="center"/>
    </xf>
    <xf numFmtId="0" fontId="8" fillId="0" borderId="0" xfId="0" applyFont="1"/>
    <xf numFmtId="3" fontId="8" fillId="0" borderId="0" xfId="0" applyNumberFormat="1" applyFont="1"/>
    <xf numFmtId="43" fontId="8" fillId="0" borderId="0" xfId="0" applyNumberFormat="1" applyFont="1"/>
    <xf numFmtId="0" fontId="8" fillId="0" borderId="0" xfId="0" applyFont="1" applyAlignment="1">
      <alignment horizontal="center"/>
    </xf>
    <xf numFmtId="188" fontId="10" fillId="0" borderId="0" xfId="1" applyNumberFormat="1" applyFont="1" applyAlignment="1">
      <alignment horizontal="right"/>
    </xf>
    <xf numFmtId="0" fontId="10" fillId="0" borderId="0" xfId="0" applyFont="1" applyAlignment="1">
      <alignment horizontal="center"/>
    </xf>
    <xf numFmtId="10" fontId="10" fillId="0" borderId="0" xfId="0" applyNumberFormat="1" applyFont="1"/>
    <xf numFmtId="16" fontId="8" fillId="0" borderId="0" xfId="0" quotePrefix="1" applyNumberFormat="1" applyFont="1" applyAlignment="1">
      <alignment horizontal="center"/>
    </xf>
    <xf numFmtId="187" fontId="10" fillId="0" borderId="0" xfId="1" applyNumberFormat="1" applyFont="1" applyAlignment="1">
      <alignment horizontal="right"/>
    </xf>
    <xf numFmtId="10" fontId="10" fillId="3" borderId="0" xfId="0" applyNumberFormat="1" applyFont="1" applyFill="1"/>
    <xf numFmtId="0" fontId="8" fillId="3" borderId="0" xfId="0" applyFont="1" applyFill="1"/>
    <xf numFmtId="187" fontId="8" fillId="3" borderId="0" xfId="1" applyNumberFormat="1" applyFont="1" applyFill="1"/>
    <xf numFmtId="187" fontId="8" fillId="3" borderId="0" xfId="0" applyNumberFormat="1" applyFont="1" applyFill="1"/>
    <xf numFmtId="4" fontId="10" fillId="3" borderId="0" xfId="1" applyNumberFormat="1" applyFont="1" applyFill="1"/>
    <xf numFmtId="10" fontId="8" fillId="3" borderId="0" xfId="5" applyNumberFormat="1" applyFont="1" applyFill="1"/>
    <xf numFmtId="4" fontId="8" fillId="3" borderId="0" xfId="1" applyNumberFormat="1" applyFont="1" applyFill="1"/>
    <xf numFmtId="9" fontId="8" fillId="0" borderId="0" xfId="5" applyFont="1"/>
    <xf numFmtId="0" fontId="12" fillId="7" borderId="4" xfId="0" applyFont="1" applyFill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87" fontId="8" fillId="0" borderId="0" xfId="1" applyNumberFormat="1" applyFont="1"/>
    <xf numFmtId="3" fontId="10" fillId="0" borderId="0" xfId="1" applyNumberFormat="1" applyFont="1"/>
    <xf numFmtId="10" fontId="8" fillId="0" borderId="0" xfId="5" applyNumberFormat="1" applyFont="1"/>
    <xf numFmtId="0" fontId="9" fillId="6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left" vertical="center"/>
    </xf>
    <xf numFmtId="0" fontId="8" fillId="0" borderId="4" xfId="0" applyFont="1" applyBorder="1"/>
    <xf numFmtId="187" fontId="8" fillId="0" borderId="4" xfId="0" applyNumberFormat="1" applyFont="1" applyBorder="1"/>
    <xf numFmtId="3" fontId="8" fillId="0" borderId="0" xfId="1" applyNumberFormat="1" applyFont="1"/>
    <xf numFmtId="0" fontId="11" fillId="3" borderId="4" xfId="0" applyFont="1" applyFill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87" fontId="8" fillId="13" borderId="4" xfId="1" applyNumberFormat="1" applyFont="1" applyFill="1" applyBorder="1" applyAlignment="1">
      <alignment vertical="center"/>
    </xf>
    <xf numFmtId="1" fontId="9" fillId="13" borderId="4" xfId="0" applyNumberFormat="1" applyFont="1" applyFill="1" applyBorder="1" applyAlignment="1">
      <alignment horizontal="center" vertical="center"/>
    </xf>
    <xf numFmtId="10" fontId="9" fillId="13" borderId="4" xfId="1" applyNumberFormat="1" applyFont="1" applyFill="1" applyBorder="1" applyAlignment="1">
      <alignment horizontal="center" vertical="center"/>
    </xf>
    <xf numFmtId="187" fontId="9" fillId="13" borderId="4" xfId="1" applyNumberFormat="1" applyFont="1" applyFill="1" applyBorder="1" applyAlignment="1">
      <alignment vertical="center"/>
    </xf>
    <xf numFmtId="10" fontId="9" fillId="14" borderId="4" xfId="1" applyNumberFormat="1" applyFont="1" applyFill="1" applyBorder="1" applyAlignment="1">
      <alignment horizontal="center" vertical="center"/>
    </xf>
    <xf numFmtId="187" fontId="8" fillId="15" borderId="4" xfId="0" applyNumberFormat="1" applyFont="1" applyFill="1" applyBorder="1" applyAlignment="1">
      <alignment horizontal="left" vertical="center"/>
    </xf>
    <xf numFmtId="187" fontId="9" fillId="15" borderId="4" xfId="1" applyNumberFormat="1" applyFont="1" applyFill="1" applyBorder="1" applyAlignment="1">
      <alignment vertical="center"/>
    </xf>
    <xf numFmtId="187" fontId="8" fillId="15" borderId="4" xfId="1" applyNumberFormat="1" applyFont="1" applyFill="1" applyBorder="1" applyAlignment="1">
      <alignment vertical="center"/>
    </xf>
    <xf numFmtId="1" fontId="9" fillId="15" borderId="4" xfId="0" applyNumberFormat="1" applyFont="1" applyFill="1" applyBorder="1" applyAlignment="1">
      <alignment horizontal="center" vertical="center"/>
    </xf>
    <xf numFmtId="187" fontId="9" fillId="15" borderId="4" xfId="0" applyNumberFormat="1" applyFont="1" applyFill="1" applyBorder="1" applyAlignment="1">
      <alignment horizontal="center" vertical="center"/>
    </xf>
    <xf numFmtId="191" fontId="9" fillId="15" borderId="4" xfId="0" applyNumberFormat="1" applyFont="1" applyFill="1" applyBorder="1" applyAlignment="1">
      <alignment vertical="center"/>
    </xf>
    <xf numFmtId="3" fontId="9" fillId="15" borderId="4" xfId="1" applyNumberFormat="1" applyFont="1" applyFill="1" applyBorder="1" applyAlignment="1">
      <alignment vertical="center"/>
    </xf>
    <xf numFmtId="10" fontId="9" fillId="15" borderId="4" xfId="5" applyNumberFormat="1" applyFont="1" applyFill="1" applyBorder="1" applyAlignment="1">
      <alignment vertical="center"/>
    </xf>
    <xf numFmtId="4" fontId="9" fillId="15" borderId="4" xfId="0" applyNumberFormat="1" applyFont="1" applyFill="1" applyBorder="1" applyAlignment="1">
      <alignment vertical="center"/>
    </xf>
    <xf numFmtId="10" fontId="8" fillId="15" borderId="4" xfId="5" applyNumberFormat="1" applyFont="1" applyFill="1" applyBorder="1" applyAlignment="1">
      <alignment vertical="center"/>
    </xf>
    <xf numFmtId="0" fontId="10" fillId="15" borderId="4" xfId="0" applyFont="1" applyFill="1" applyBorder="1" applyAlignment="1">
      <alignment horizontal="center" vertical="center"/>
    </xf>
    <xf numFmtId="10" fontId="15" fillId="0" borderId="4" xfId="5" applyNumberFormat="1" applyFont="1" applyFill="1" applyBorder="1" applyAlignment="1">
      <alignment vertical="center"/>
    </xf>
    <xf numFmtId="187" fontId="7" fillId="16" borderId="4" xfId="1" applyNumberFormat="1" applyFont="1" applyFill="1" applyBorder="1" applyAlignment="1">
      <alignment vertical="center"/>
    </xf>
    <xf numFmtId="3" fontId="7" fillId="16" borderId="4" xfId="0" applyNumberFormat="1" applyFont="1" applyFill="1" applyBorder="1" applyAlignment="1">
      <alignment vertical="center"/>
    </xf>
    <xf numFmtId="43" fontId="7" fillId="16" borderId="4" xfId="1" applyFont="1" applyFill="1" applyBorder="1" applyAlignment="1">
      <alignment vertical="center"/>
    </xf>
    <xf numFmtId="10" fontId="9" fillId="17" borderId="4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9" fillId="0" borderId="4" xfId="1" applyNumberFormat="1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vertical="center"/>
    </xf>
    <xf numFmtId="191" fontId="8" fillId="0" borderId="4" xfId="0" applyNumberFormat="1" applyFont="1" applyBorder="1" applyAlignment="1">
      <alignment vertical="center"/>
    </xf>
    <xf numFmtId="3" fontId="8" fillId="12" borderId="4" xfId="1" applyNumberFormat="1" applyFont="1" applyFill="1" applyBorder="1" applyAlignment="1">
      <alignment vertical="center"/>
    </xf>
    <xf numFmtId="10" fontId="8" fillId="12" borderId="4" xfId="5" applyNumberFormat="1" applyFont="1" applyFill="1" applyBorder="1" applyAlignment="1">
      <alignment vertical="center"/>
    </xf>
    <xf numFmtId="187" fontId="0" fillId="0" borderId="0" xfId="1" applyNumberFormat="1" applyFont="1"/>
    <xf numFmtId="0" fontId="0" fillId="0" borderId="0" xfId="0" applyAlignment="1">
      <alignment vertical="center"/>
    </xf>
    <xf numFmtId="0" fontId="0" fillId="15" borderId="0" xfId="0" applyFill="1" applyAlignment="1">
      <alignment horizontal="center" vertical="center"/>
    </xf>
    <xf numFmtId="0" fontId="16" fillId="9" borderId="6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 wrapText="1"/>
    </xf>
    <xf numFmtId="0" fontId="16" fillId="9" borderId="4" xfId="0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/>
    </xf>
    <xf numFmtId="0" fontId="16" fillId="9" borderId="4" xfId="2" applyFont="1" applyFill="1" applyBorder="1" applyAlignment="1">
      <alignment horizontal="center" vertical="center" wrapText="1"/>
    </xf>
    <xf numFmtId="0" fontId="16" fillId="9" borderId="7" xfId="0" applyFont="1" applyFill="1" applyBorder="1" applyAlignment="1">
      <alignment horizontal="center" vertical="top"/>
    </xf>
    <xf numFmtId="9" fontId="16" fillId="9" borderId="3" xfId="0" applyNumberFormat="1" applyFont="1" applyFill="1" applyBorder="1" applyAlignment="1">
      <alignment horizontal="center" vertical="center"/>
    </xf>
    <xf numFmtId="9" fontId="16" fillId="9" borderId="4" xfId="0" applyNumberFormat="1" applyFont="1" applyFill="1" applyBorder="1" applyAlignment="1">
      <alignment horizontal="center" vertical="center"/>
    </xf>
    <xf numFmtId="10" fontId="16" fillId="9" borderId="4" xfId="1" applyNumberFormat="1" applyFont="1" applyFill="1" applyBorder="1" applyAlignment="1">
      <alignment horizontal="center" vertical="center" wrapText="1"/>
    </xf>
    <xf numFmtId="0" fontId="16" fillId="9" borderId="4" xfId="1" applyNumberFormat="1" applyFont="1" applyFill="1" applyBorder="1" applyAlignment="1">
      <alignment horizontal="center" vertical="center" wrapText="1"/>
    </xf>
    <xf numFmtId="187" fontId="16" fillId="9" borderId="4" xfId="1" applyNumberFormat="1" applyFont="1" applyFill="1" applyBorder="1" applyAlignment="1">
      <alignment horizontal="center" vertical="center" wrapText="1"/>
    </xf>
    <xf numFmtId="187" fontId="16" fillId="9" borderId="4" xfId="1" quotePrefix="1" applyNumberFormat="1" applyFont="1" applyFill="1" applyBorder="1" applyAlignment="1">
      <alignment horizontal="center" vertical="center" wrapText="1"/>
    </xf>
    <xf numFmtId="49" fontId="16" fillId="9" borderId="4" xfId="1" quotePrefix="1" applyNumberFormat="1" applyFont="1" applyFill="1" applyBorder="1" applyAlignment="1">
      <alignment horizontal="center" vertical="center" wrapText="1"/>
    </xf>
    <xf numFmtId="2" fontId="16" fillId="9" borderId="4" xfId="1" quotePrefix="1" applyNumberFormat="1" applyFont="1" applyFill="1" applyBorder="1" applyAlignment="1">
      <alignment horizontal="center" vertical="center" wrapText="1"/>
    </xf>
    <xf numFmtId="43" fontId="7" fillId="0" borderId="4" xfId="1" applyFont="1" applyBorder="1" applyAlignment="1">
      <alignment vertical="center"/>
    </xf>
    <xf numFmtId="43" fontId="7" fillId="0" borderId="4" xfId="0" applyNumberFormat="1" applyFont="1" applyBorder="1" applyAlignment="1">
      <alignment vertical="center"/>
    </xf>
    <xf numFmtId="10" fontId="7" fillId="16" borderId="4" xfId="5" applyNumberFormat="1" applyFont="1" applyFill="1" applyBorder="1" applyAlignment="1">
      <alignment vertical="center"/>
    </xf>
    <xf numFmtId="43" fontId="7" fillId="12" borderId="4" xfId="1" applyFont="1" applyFill="1" applyBorder="1" applyAlignment="1">
      <alignment vertical="center"/>
    </xf>
    <xf numFmtId="43" fontId="7" fillId="12" borderId="4" xfId="0" applyNumberFormat="1" applyFont="1" applyFill="1" applyBorder="1" applyAlignment="1">
      <alignment vertical="center"/>
    </xf>
    <xf numFmtId="10" fontId="7" fillId="12" borderId="4" xfId="5" applyNumberFormat="1" applyFont="1" applyFill="1" applyBorder="1" applyAlignment="1">
      <alignment vertical="center"/>
    </xf>
    <xf numFmtId="10" fontId="15" fillId="9" borderId="4" xfId="5" applyNumberFormat="1" applyFont="1" applyFill="1" applyBorder="1" applyAlignment="1">
      <alignment vertical="center"/>
    </xf>
    <xf numFmtId="10" fontId="7" fillId="0" borderId="4" xfId="5" applyNumberFormat="1" applyFont="1" applyFill="1" applyBorder="1" applyAlignment="1">
      <alignment vertical="center"/>
    </xf>
    <xf numFmtId="187" fontId="8" fillId="0" borderId="0" xfId="0" applyNumberFormat="1" applyFont="1"/>
    <xf numFmtId="0" fontId="6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10" fontId="10" fillId="0" borderId="4" xfId="5" applyNumberFormat="1" applyFont="1" applyFill="1" applyBorder="1" applyAlignment="1">
      <alignment horizontal="right" vertical="center"/>
    </xf>
    <xf numFmtId="0" fontId="19" fillId="3" borderId="4" xfId="0" applyFont="1" applyFill="1" applyBorder="1" applyAlignment="1">
      <alignment horizontal="center" vertical="center"/>
    </xf>
    <xf numFmtId="0" fontId="6" fillId="0" borderId="0" xfId="0" applyFont="1"/>
    <xf numFmtId="0" fontId="18" fillId="0" borderId="0" xfId="0" applyFont="1"/>
    <xf numFmtId="43" fontId="8" fillId="0" borderId="0" xfId="0" applyNumberFormat="1" applyFont="1" applyAlignment="1">
      <alignment vertical="center"/>
    </xf>
    <xf numFmtId="188" fontId="14" fillId="0" borderId="0" xfId="1" applyNumberFormat="1" applyFont="1" applyAlignment="1">
      <alignment horizontal="right" vertical="center"/>
    </xf>
    <xf numFmtId="10" fontId="20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3" fontId="10" fillId="0" borderId="4" xfId="1" applyNumberFormat="1" applyFont="1" applyBorder="1" applyAlignment="1">
      <alignment vertical="center"/>
    </xf>
    <xf numFmtId="3" fontId="9" fillId="9" borderId="4" xfId="5" applyNumberFormat="1" applyFont="1" applyFill="1" applyBorder="1" applyAlignment="1">
      <alignment vertical="center"/>
    </xf>
    <xf numFmtId="0" fontId="17" fillId="16" borderId="4" xfId="0" applyFont="1" applyFill="1" applyBorder="1" applyAlignment="1">
      <alignment vertical="center"/>
    </xf>
    <xf numFmtId="3" fontId="6" fillId="0" borderId="0" xfId="0" applyNumberFormat="1" applyFont="1"/>
    <xf numFmtId="3" fontId="9" fillId="0" borderId="4" xfId="1" applyNumberFormat="1" applyFont="1" applyFill="1" applyBorder="1" applyAlignment="1">
      <alignment horizontal="right" vertical="center"/>
    </xf>
    <xf numFmtId="191" fontId="9" fillId="0" borderId="4" xfId="5" applyNumberFormat="1" applyFont="1" applyFill="1" applyBorder="1" applyAlignment="1">
      <alignment vertical="center"/>
    </xf>
    <xf numFmtId="187" fontId="11" fillId="0" borderId="4" xfId="1" applyNumberFormat="1" applyFont="1" applyFill="1" applyBorder="1" applyAlignment="1">
      <alignment vertical="center"/>
    </xf>
    <xf numFmtId="3" fontId="10" fillId="0" borderId="4" xfId="1" applyNumberFormat="1" applyFont="1" applyFill="1" applyBorder="1" applyAlignment="1">
      <alignment horizontal="right" vertical="center"/>
    </xf>
    <xf numFmtId="3" fontId="9" fillId="9" borderId="4" xfId="1" applyNumberFormat="1" applyFont="1" applyFill="1" applyBorder="1" applyAlignment="1">
      <alignment horizontal="right" vertical="center"/>
    </xf>
    <xf numFmtId="191" fontId="9" fillId="9" borderId="4" xfId="5" applyNumberFormat="1" applyFont="1" applyFill="1" applyBorder="1" applyAlignment="1">
      <alignment vertical="center"/>
    </xf>
    <xf numFmtId="187" fontId="8" fillId="0" borderId="0" xfId="0" applyNumberFormat="1" applyFont="1" applyAlignment="1">
      <alignment horizontal="center" vertical="center"/>
    </xf>
    <xf numFmtId="3" fontId="8" fillId="0" borderId="4" xfId="1" applyNumberFormat="1" applyFont="1" applyFill="1" applyBorder="1" applyAlignment="1">
      <alignment horizontal="right" vertical="center"/>
    </xf>
    <xf numFmtId="191" fontId="8" fillId="0" borderId="4" xfId="5" applyNumberFormat="1" applyFont="1" applyFill="1" applyBorder="1" applyAlignment="1">
      <alignment vertical="center"/>
    </xf>
    <xf numFmtId="0" fontId="19" fillId="18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 wrapText="1"/>
    </xf>
    <xf numFmtId="10" fontId="12" fillId="11" borderId="4" xfId="1" applyNumberFormat="1" applyFont="1" applyFill="1" applyBorder="1" applyAlignment="1">
      <alignment horizontal="center" vertical="center"/>
    </xf>
    <xf numFmtId="187" fontId="11" fillId="19" borderId="4" xfId="1" applyNumberFormat="1" applyFont="1" applyFill="1" applyBorder="1" applyAlignment="1">
      <alignment vertical="center"/>
    </xf>
    <xf numFmtId="187" fontId="8" fillId="19" borderId="4" xfId="1" applyNumberFormat="1" applyFont="1" applyFill="1" applyBorder="1" applyAlignment="1">
      <alignment vertical="center"/>
    </xf>
    <xf numFmtId="3" fontId="9" fillId="0" borderId="4" xfId="1" applyNumberFormat="1" applyFont="1" applyBorder="1" applyAlignment="1">
      <alignment vertical="center"/>
    </xf>
    <xf numFmtId="10" fontId="9" fillId="0" borderId="4" xfId="5" applyNumberFormat="1" applyFont="1" applyFill="1" applyBorder="1" applyAlignment="1">
      <alignment horizontal="right" vertical="center"/>
    </xf>
    <xf numFmtId="3" fontId="9" fillId="12" borderId="4" xfId="1" applyNumberFormat="1" applyFont="1" applyFill="1" applyBorder="1" applyAlignment="1">
      <alignment vertical="center"/>
    </xf>
    <xf numFmtId="10" fontId="9" fillId="12" borderId="4" xfId="5" applyNumberFormat="1" applyFont="1" applyFill="1" applyBorder="1" applyAlignment="1">
      <alignment horizontal="right" vertical="center"/>
    </xf>
    <xf numFmtId="10" fontId="15" fillId="11" borderId="4" xfId="5" applyNumberFormat="1" applyFont="1" applyFill="1" applyBorder="1" applyAlignment="1">
      <alignment vertical="center"/>
    </xf>
    <xf numFmtId="10" fontId="7" fillId="11" borderId="4" xfId="5" applyNumberFormat="1" applyFont="1" applyFill="1" applyBorder="1" applyAlignment="1">
      <alignment vertical="center"/>
    </xf>
    <xf numFmtId="0" fontId="4" fillId="5" borderId="0" xfId="0" applyFont="1" applyFill="1" applyAlignment="1">
      <alignment horizontal="center"/>
    </xf>
    <xf numFmtId="0" fontId="22" fillId="0" borderId="0" xfId="0" applyFont="1"/>
    <xf numFmtId="0" fontId="7" fillId="9" borderId="4" xfId="0" applyFont="1" applyFill="1" applyBorder="1" applyAlignment="1">
      <alignment horizontal="center" vertical="center"/>
    </xf>
    <xf numFmtId="187" fontId="13" fillId="2" borderId="4" xfId="1" applyNumberFormat="1" applyFont="1" applyFill="1" applyBorder="1" applyAlignment="1">
      <alignment vertical="center"/>
    </xf>
    <xf numFmtId="0" fontId="12" fillId="7" borderId="4" xfId="0" applyFont="1" applyFill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9" borderId="4" xfId="2" applyFont="1" applyFill="1" applyBorder="1" applyAlignment="1">
      <alignment horizontal="center" vertical="center" wrapText="1"/>
    </xf>
    <xf numFmtId="0" fontId="16" fillId="9" borderId="4" xfId="2" applyFont="1" applyFill="1" applyBorder="1" applyAlignment="1">
      <alignment horizontal="center" vertical="center"/>
    </xf>
    <xf numFmtId="49" fontId="16" fillId="9" borderId="1" xfId="2" applyNumberFormat="1" applyFont="1" applyFill="1" applyBorder="1" applyAlignment="1">
      <alignment horizontal="center" vertical="center" wrapText="1"/>
    </xf>
    <xf numFmtId="49" fontId="16" fillId="9" borderId="2" xfId="2" applyNumberFormat="1" applyFont="1" applyFill="1" applyBorder="1" applyAlignment="1">
      <alignment horizontal="center" vertical="center" wrapText="1"/>
    </xf>
    <xf numFmtId="49" fontId="16" fillId="9" borderId="3" xfId="2" applyNumberFormat="1" applyFont="1" applyFill="1" applyBorder="1" applyAlignment="1">
      <alignment horizontal="center" vertical="center" wrapText="1"/>
    </xf>
    <xf numFmtId="0" fontId="16" fillId="9" borderId="6" xfId="2" applyFont="1" applyFill="1" applyBorder="1" applyAlignment="1">
      <alignment horizontal="center" vertical="center" wrapText="1"/>
    </xf>
    <xf numFmtId="0" fontId="16" fillId="9" borderId="7" xfId="2" applyFont="1" applyFill="1" applyBorder="1" applyAlignment="1">
      <alignment horizontal="center" vertical="center" wrapText="1"/>
    </xf>
  </cellXfs>
  <cellStyles count="10">
    <cellStyle name="จุลภาค" xfId="1" builtinId="3"/>
    <cellStyle name="จุลภาค 2" xfId="8" xr:uid="{7F933E35-88C9-1644-A8B0-D15073D4EA9E}"/>
    <cellStyle name="จุลภาค 3" xfId="6" xr:uid="{EC511DF7-7E71-FA4D-86E6-F669E89844E9}"/>
    <cellStyle name="จุลภาค 3 2" xfId="3" xr:uid="{3D41F9ED-5459-9744-8F7C-2BDF9ADCC3B0}"/>
    <cellStyle name="ปกติ" xfId="0" builtinId="0"/>
    <cellStyle name="ปกติ 3 2" xfId="2" xr:uid="{1F4CD1BC-DA71-BE47-B755-4D23D0FC66DC}"/>
    <cellStyle name="ปกติ 3 2 2" xfId="9" xr:uid="{1FC5E84D-999B-134B-BBAF-E8569C317795}"/>
    <cellStyle name="ปกติ 6" xfId="7" xr:uid="{7DF2EBD2-4BE8-CF46-BB07-2D0B088BBE4D}"/>
    <cellStyle name="เปอร์เซ็นต์" xfId="5" builtinId="5"/>
    <cellStyle name="เปอร์เซ็นต์ 2" xfId="4" xr:uid="{95FB0913-135D-5840-9C9B-C3F68F3D3230}"/>
  </cellStyles>
  <dxfs count="0"/>
  <tableStyles count="0" defaultTableStyle="TableStyleMedium2" defaultPivotStyle="PivotStyleLight16"/>
  <colors>
    <mruColors>
      <color rgb="FF04A402"/>
      <color rgb="FFEEFCF4"/>
      <color rgb="FFDEEBF8"/>
      <color rgb="FFFEFEFE"/>
      <color rgb="FFB1E859"/>
      <color rgb="FFEDFBF3"/>
      <color rgb="FF71AD47"/>
      <color rgb="FFECFAF2"/>
      <color rgb="FFEEFCF3"/>
      <color rgb="FFEDFB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Report!$C$44</c:f>
              <c:strCache>
                <c:ptCount val="1"/>
                <c:pt idx="0">
                  <c:v>TARGET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Report!$A$45:$A$61</c:f>
              <c:strCache>
                <c:ptCount val="17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Festival เชียงใหม่</c:v>
                </c:pt>
                <c:pt idx="9">
                  <c:v>Yuedpao สาขา Central พัทยา</c:v>
                </c:pt>
                <c:pt idx="10">
                  <c:v>Yuedpao สาขา Central ปิ่นเกล้า</c:v>
                </c:pt>
                <c:pt idx="11">
                  <c:v>Yuedpao สาขา I am China Town</c:v>
                </c:pt>
                <c:pt idx="12">
                  <c:v>Yuedpao สาขา Robinson ชลบุรี</c:v>
                </c:pt>
                <c:pt idx="13">
                  <c:v>Yuedpao สาขา Big C อำนาจเจริญ</c:v>
                </c:pt>
                <c:pt idx="14">
                  <c:v>Yuedpao สาขา Robinson แม่สอด</c:v>
                </c:pt>
                <c:pt idx="15">
                  <c:v>Yuedpao สาขา Sermthai Complex มหาสารคาม</c:v>
                </c:pt>
                <c:pt idx="16">
                  <c:v>Yuedpao สาขา Robinson กำแพงเพชร</c:v>
                </c:pt>
              </c:strCache>
            </c:strRef>
          </c:cat>
          <c:val>
            <c:numRef>
              <c:f>Report!$C$45:$C$61</c:f>
              <c:numCache>
                <c:formatCode>_(* #,##0_);_(* \(#,##0\);_(* "-"??_);_(@_)</c:formatCode>
                <c:ptCount val="17"/>
                <c:pt idx="0">
                  <c:v>1100000</c:v>
                </c:pt>
                <c:pt idx="1">
                  <c:v>850000</c:v>
                </c:pt>
                <c:pt idx="2">
                  <c:v>1100000</c:v>
                </c:pt>
                <c:pt idx="3">
                  <c:v>1300000</c:v>
                </c:pt>
                <c:pt idx="4">
                  <c:v>600000</c:v>
                </c:pt>
                <c:pt idx="5">
                  <c:v>550000</c:v>
                </c:pt>
                <c:pt idx="6">
                  <c:v>1200000</c:v>
                </c:pt>
                <c:pt idx="7">
                  <c:v>2100000</c:v>
                </c:pt>
                <c:pt idx="8">
                  <c:v>500000</c:v>
                </c:pt>
                <c:pt idx="9">
                  <c:v>700000</c:v>
                </c:pt>
                <c:pt idx="10">
                  <c:v>1700000</c:v>
                </c:pt>
                <c:pt idx="11">
                  <c:v>400000</c:v>
                </c:pt>
                <c:pt idx="12">
                  <c:v>950000</c:v>
                </c:pt>
                <c:pt idx="13">
                  <c:v>500000</c:v>
                </c:pt>
                <c:pt idx="14">
                  <c:v>950000</c:v>
                </c:pt>
                <c:pt idx="15">
                  <c:v>900000</c:v>
                </c:pt>
                <c:pt idx="16">
                  <c:v>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6B-3C49-843B-EBB860FE044B}"/>
            </c:ext>
          </c:extLst>
        </c:ser>
        <c:ser>
          <c:idx val="1"/>
          <c:order val="1"/>
          <c:tx>
            <c:strRef>
              <c:f>Report!$D$44</c:f>
              <c:strCache>
                <c:ptCount val="1"/>
                <c:pt idx="0">
                  <c:v>SALE OUT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Report!$A$45:$A$61</c:f>
              <c:strCache>
                <c:ptCount val="17"/>
                <c:pt idx="0">
                  <c:v>Yuedpao สาขา Mega บางนา</c:v>
                </c:pt>
                <c:pt idx="1">
                  <c:v>Yuedpao สาขา The Mall โคราช</c:v>
                </c:pt>
                <c:pt idx="2">
                  <c:v>Yuedpao สาขา SIAM SQUARE</c:v>
                </c:pt>
                <c:pt idx="3">
                  <c:v>Yuedpao สาขา Central ระยอง</c:v>
                </c:pt>
                <c:pt idx="4">
                  <c:v>Yuedpao สาขา Central โคราช</c:v>
                </c:pt>
                <c:pt idx="5">
                  <c:v>Yuedpao สาขา Robinson บุรีรัมย์</c:v>
                </c:pt>
                <c:pt idx="6">
                  <c:v>Yuedpao สาขา MAYA เชียงใหม่</c:v>
                </c:pt>
                <c:pt idx="7">
                  <c:v>Yuedpao สาขา Future Park Rangsit ชั้น 3</c:v>
                </c:pt>
                <c:pt idx="8">
                  <c:v>Yuedpao สาขา Central Festival เชียงใหม่</c:v>
                </c:pt>
                <c:pt idx="9">
                  <c:v>Yuedpao สาขา Central พัทยา</c:v>
                </c:pt>
                <c:pt idx="10">
                  <c:v>Yuedpao สาขา Central ปิ่นเกล้า</c:v>
                </c:pt>
                <c:pt idx="11">
                  <c:v>Yuedpao สาขา I am China Town</c:v>
                </c:pt>
                <c:pt idx="12">
                  <c:v>Yuedpao สาขา Robinson ชลบุรี</c:v>
                </c:pt>
                <c:pt idx="13">
                  <c:v>Yuedpao สาขา Big C อำนาจเจริญ</c:v>
                </c:pt>
                <c:pt idx="14">
                  <c:v>Yuedpao สาขา Robinson แม่สอด</c:v>
                </c:pt>
                <c:pt idx="15">
                  <c:v>Yuedpao สาขา Sermthai Complex มหาสารคาม</c:v>
                </c:pt>
                <c:pt idx="16">
                  <c:v>Yuedpao สาขา Robinson กำแพงเพชร</c:v>
                </c:pt>
              </c:strCache>
            </c:strRef>
          </c:cat>
          <c:val>
            <c:numRef>
              <c:f>Report!$D$45:$D$61</c:f>
              <c:numCache>
                <c:formatCode>_(* #,##0_);_(* \(#,##0\);_(* "-"??_);_(@_)</c:formatCode>
                <c:ptCount val="17"/>
                <c:pt idx="0">
                  <c:v>1077583</c:v>
                </c:pt>
                <c:pt idx="1">
                  <c:v>1002951.5</c:v>
                </c:pt>
                <c:pt idx="2">
                  <c:v>1085005</c:v>
                </c:pt>
                <c:pt idx="3">
                  <c:v>1468983.18</c:v>
                </c:pt>
                <c:pt idx="4">
                  <c:v>708646</c:v>
                </c:pt>
                <c:pt idx="5">
                  <c:v>671624.5</c:v>
                </c:pt>
                <c:pt idx="6">
                  <c:v>1412663.3</c:v>
                </c:pt>
                <c:pt idx="7">
                  <c:v>2377971</c:v>
                </c:pt>
                <c:pt idx="8">
                  <c:v>432844</c:v>
                </c:pt>
                <c:pt idx="9">
                  <c:v>859124</c:v>
                </c:pt>
                <c:pt idx="10">
                  <c:v>1886188</c:v>
                </c:pt>
                <c:pt idx="11">
                  <c:v>323459</c:v>
                </c:pt>
                <c:pt idx="12">
                  <c:v>1075263</c:v>
                </c:pt>
                <c:pt idx="13">
                  <c:v>375125</c:v>
                </c:pt>
                <c:pt idx="14">
                  <c:v>956875.38</c:v>
                </c:pt>
                <c:pt idx="15">
                  <c:v>817052</c:v>
                </c:pt>
                <c:pt idx="16">
                  <c:v>682874.99999999988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6B-3C49-843B-EBB860FE0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0801584"/>
        <c:axId val="260803296"/>
      </c:barChart>
      <c:catAx>
        <c:axId val="26080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3296"/>
        <c:crosses val="autoZero"/>
        <c:auto val="1"/>
        <c:lblAlgn val="ctr"/>
        <c:lblOffset val="100"/>
        <c:noMultiLvlLbl val="0"/>
      </c:catAx>
      <c:valAx>
        <c:axId val="26080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60801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907141</xdr:colOff>
      <xdr:row>35</xdr:row>
      <xdr:rowOff>47777</xdr:rowOff>
    </xdr:from>
    <xdr:to>
      <xdr:col>34</xdr:col>
      <xdr:colOff>241904</xdr:colOff>
      <xdr:row>68</xdr:row>
      <xdr:rowOff>211667</xdr:rowOff>
    </xdr:to>
    <xdr:graphicFrame macro="">
      <xdr:nvGraphicFramePr>
        <xdr:cNvPr id="3" name="แผนภูมิ 2">
          <a:extLst>
            <a:ext uri="{FF2B5EF4-FFF2-40B4-BE49-F238E27FC236}">
              <a16:creationId xmlns:a16="http://schemas.microsoft.com/office/drawing/2014/main" id="{629F69ED-0C11-6D65-3489-5A982D49D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91D81-B342-DF4E-AA1A-BE8A069FD8D4}">
  <sheetPr codeName="Sheet1">
    <tabColor theme="1"/>
  </sheetPr>
  <dimension ref="A1:E91"/>
  <sheetViews>
    <sheetView workbookViewId="0">
      <selection activeCell="E11" sqref="E11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7" t="s">
        <v>411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154</v>
      </c>
      <c r="B3" s="3" t="s">
        <v>155</v>
      </c>
      <c r="C3" s="4">
        <v>120933</v>
      </c>
      <c r="D3" s="4">
        <v>45378244.150000416</v>
      </c>
      <c r="E3" s="5" t="s">
        <v>412</v>
      </c>
    </row>
    <row r="4" spans="1:5" ht="16" x14ac:dyDescent="0.2">
      <c r="A4" s="2" t="s">
        <v>48</v>
      </c>
      <c r="B4" s="3" t="s">
        <v>56</v>
      </c>
      <c r="C4" s="4">
        <v>4094</v>
      </c>
      <c r="D4" s="4">
        <v>2094952.01</v>
      </c>
      <c r="E4" s="5" t="s">
        <v>408</v>
      </c>
    </row>
    <row r="5" spans="1:5" ht="16" x14ac:dyDescent="0.2">
      <c r="A5" s="2" t="s">
        <v>50</v>
      </c>
      <c r="B5" s="3" t="s">
        <v>53</v>
      </c>
      <c r="C5" s="4">
        <v>3634</v>
      </c>
      <c r="D5" s="4">
        <v>2012765</v>
      </c>
      <c r="E5" s="5" t="s">
        <v>413</v>
      </c>
    </row>
    <row r="6" spans="1:5" ht="16" x14ac:dyDescent="0.2">
      <c r="A6" s="2" t="s">
        <v>52</v>
      </c>
      <c r="B6" s="3" t="s">
        <v>74</v>
      </c>
      <c r="C6" s="4">
        <v>3655</v>
      </c>
      <c r="D6" s="4">
        <v>1897575</v>
      </c>
      <c r="E6" s="5" t="s">
        <v>414</v>
      </c>
    </row>
    <row r="7" spans="1:5" ht="16" x14ac:dyDescent="0.2">
      <c r="A7" s="2" t="s">
        <v>54</v>
      </c>
      <c r="B7" s="3" t="s">
        <v>49</v>
      </c>
      <c r="C7" s="4">
        <v>4281</v>
      </c>
      <c r="D7" s="4">
        <v>1894324.5</v>
      </c>
      <c r="E7" s="5" t="s">
        <v>414</v>
      </c>
    </row>
    <row r="8" spans="1:5" ht="16" x14ac:dyDescent="0.2">
      <c r="A8" s="2" t="s">
        <v>55</v>
      </c>
      <c r="B8" s="3" t="s">
        <v>2</v>
      </c>
      <c r="C8" s="4">
        <v>3655</v>
      </c>
      <c r="D8" s="4">
        <v>1777733.81</v>
      </c>
      <c r="E8" s="5" t="s">
        <v>415</v>
      </c>
    </row>
    <row r="9" spans="1:5" ht="16" x14ac:dyDescent="0.2">
      <c r="A9" s="2" t="s">
        <v>57</v>
      </c>
      <c r="B9" s="3" t="s">
        <v>58</v>
      </c>
      <c r="C9" s="4">
        <v>3795</v>
      </c>
      <c r="D9" s="4">
        <v>1713690.0000000002</v>
      </c>
      <c r="E9" s="5" t="s">
        <v>416</v>
      </c>
    </row>
    <row r="10" spans="1:5" ht="16" x14ac:dyDescent="0.2">
      <c r="A10" s="2" t="s">
        <v>156</v>
      </c>
      <c r="B10" s="3" t="s">
        <v>61</v>
      </c>
      <c r="C10" s="4">
        <v>3654</v>
      </c>
      <c r="D10" s="4">
        <v>1648441</v>
      </c>
      <c r="E10" s="5" t="s">
        <v>417</v>
      </c>
    </row>
    <row r="11" spans="1:5" ht="16" x14ac:dyDescent="0.2">
      <c r="A11" s="2" t="s">
        <v>60</v>
      </c>
      <c r="B11" s="3" t="s">
        <v>63</v>
      </c>
      <c r="C11" s="4">
        <v>3596</v>
      </c>
      <c r="D11" s="4">
        <v>1618111.81</v>
      </c>
      <c r="E11" s="5" t="s">
        <v>418</v>
      </c>
    </row>
    <row r="12" spans="1:5" ht="16" x14ac:dyDescent="0.2">
      <c r="A12" s="2" t="s">
        <v>62</v>
      </c>
      <c r="B12" s="3" t="s">
        <v>142</v>
      </c>
      <c r="C12" s="4">
        <v>3210</v>
      </c>
      <c r="D12" s="4">
        <v>1475824.7</v>
      </c>
      <c r="E12" s="5" t="s">
        <v>409</v>
      </c>
    </row>
    <row r="13" spans="1:5" ht="16" x14ac:dyDescent="0.2">
      <c r="A13" s="2" t="s">
        <v>146</v>
      </c>
      <c r="B13" s="3" t="s">
        <v>67</v>
      </c>
      <c r="C13" s="4">
        <v>3167</v>
      </c>
      <c r="D13" s="4">
        <v>1451049</v>
      </c>
      <c r="E13" s="5" t="s">
        <v>419</v>
      </c>
    </row>
    <row r="14" spans="1:5" ht="16" x14ac:dyDescent="0.2">
      <c r="A14" s="2" t="s">
        <v>64</v>
      </c>
      <c r="B14" s="3" t="s">
        <v>71</v>
      </c>
      <c r="C14" s="4">
        <v>3008</v>
      </c>
      <c r="D14" s="4">
        <v>1434790.25</v>
      </c>
      <c r="E14" s="5" t="s">
        <v>420</v>
      </c>
    </row>
    <row r="15" spans="1:5" ht="16" x14ac:dyDescent="0.2">
      <c r="A15" s="2" t="s">
        <v>66</v>
      </c>
      <c r="B15" s="3" t="s">
        <v>69</v>
      </c>
      <c r="C15" s="4">
        <v>2809</v>
      </c>
      <c r="D15" s="4">
        <v>1366644.5</v>
      </c>
      <c r="E15" s="5" t="s">
        <v>394</v>
      </c>
    </row>
    <row r="16" spans="1:5" ht="16" x14ac:dyDescent="0.2">
      <c r="A16" s="2" t="s">
        <v>68</v>
      </c>
      <c r="B16" s="3" t="s">
        <v>4</v>
      </c>
      <c r="C16" s="4">
        <v>2923</v>
      </c>
      <c r="D16" s="4">
        <v>1318780</v>
      </c>
      <c r="E16" s="5" t="s">
        <v>410</v>
      </c>
    </row>
    <row r="17" spans="1:5" ht="16" x14ac:dyDescent="0.2">
      <c r="A17" s="2" t="s">
        <v>147</v>
      </c>
      <c r="B17" s="3" t="s">
        <v>88</v>
      </c>
      <c r="C17" s="4">
        <v>2540</v>
      </c>
      <c r="D17" s="4">
        <v>1270925.5</v>
      </c>
      <c r="E17" s="5" t="s">
        <v>387</v>
      </c>
    </row>
    <row r="18" spans="1:5" ht="16" x14ac:dyDescent="0.2">
      <c r="A18" s="2" t="s">
        <v>70</v>
      </c>
      <c r="B18" s="3" t="s">
        <v>79</v>
      </c>
      <c r="C18" s="4">
        <v>2870</v>
      </c>
      <c r="D18" s="4">
        <v>1264427</v>
      </c>
      <c r="E18" s="5" t="s">
        <v>387</v>
      </c>
    </row>
    <row r="19" spans="1:5" ht="16" x14ac:dyDescent="0.2">
      <c r="A19" s="2" t="s">
        <v>72</v>
      </c>
      <c r="B19" s="3" t="s">
        <v>84</v>
      </c>
      <c r="C19" s="4">
        <v>2624</v>
      </c>
      <c r="D19" s="4">
        <v>1262525.5</v>
      </c>
      <c r="E19" s="5" t="s">
        <v>387</v>
      </c>
    </row>
    <row r="20" spans="1:5" ht="16" x14ac:dyDescent="0.2">
      <c r="A20" s="2" t="s">
        <v>157</v>
      </c>
      <c r="B20" s="3" t="s">
        <v>144</v>
      </c>
      <c r="C20" s="4">
        <v>2824</v>
      </c>
      <c r="D20" s="4">
        <v>1250885.5</v>
      </c>
      <c r="E20" s="5" t="s">
        <v>366</v>
      </c>
    </row>
    <row r="21" spans="1:5" ht="16" x14ac:dyDescent="0.2">
      <c r="A21" s="2" t="s">
        <v>75</v>
      </c>
      <c r="B21" s="3" t="s">
        <v>65</v>
      </c>
      <c r="C21" s="4">
        <v>2543</v>
      </c>
      <c r="D21" s="4">
        <v>1214922</v>
      </c>
      <c r="E21" s="5" t="s">
        <v>371</v>
      </c>
    </row>
    <row r="22" spans="1:5" ht="16" x14ac:dyDescent="0.2">
      <c r="A22" s="2" t="s">
        <v>76</v>
      </c>
      <c r="B22" s="3" t="s">
        <v>266</v>
      </c>
      <c r="C22" s="4">
        <v>2369</v>
      </c>
      <c r="D22" s="4">
        <v>1161782</v>
      </c>
      <c r="E22" s="5" t="s">
        <v>373</v>
      </c>
    </row>
    <row r="23" spans="1:5" ht="16" x14ac:dyDescent="0.2">
      <c r="A23" s="2" t="s">
        <v>78</v>
      </c>
      <c r="B23" s="3" t="s">
        <v>77</v>
      </c>
      <c r="C23" s="4">
        <v>2178</v>
      </c>
      <c r="D23" s="4">
        <v>1158157.5</v>
      </c>
      <c r="E23" s="5" t="s">
        <v>373</v>
      </c>
    </row>
    <row r="24" spans="1:5" ht="16" x14ac:dyDescent="0.2">
      <c r="A24" s="2" t="s">
        <v>148</v>
      </c>
      <c r="B24" s="3" t="s">
        <v>59</v>
      </c>
      <c r="C24" s="4">
        <v>2462</v>
      </c>
      <c r="D24" s="4">
        <v>1140844</v>
      </c>
      <c r="E24" s="5" t="s">
        <v>404</v>
      </c>
    </row>
    <row r="25" spans="1:5" ht="16" x14ac:dyDescent="0.2">
      <c r="A25" s="2" t="s">
        <v>80</v>
      </c>
      <c r="B25" s="3" t="s">
        <v>188</v>
      </c>
      <c r="C25" s="4">
        <v>2999</v>
      </c>
      <c r="D25" s="4">
        <v>1119572</v>
      </c>
      <c r="E25" s="5" t="s">
        <v>421</v>
      </c>
    </row>
    <row r="26" spans="1:5" ht="16" x14ac:dyDescent="0.2">
      <c r="A26" s="2" t="s">
        <v>82</v>
      </c>
      <c r="B26" s="3" t="s">
        <v>345</v>
      </c>
      <c r="C26" s="4">
        <v>3621</v>
      </c>
      <c r="D26" s="4">
        <v>1106890</v>
      </c>
      <c r="E26" s="5" t="s">
        <v>360</v>
      </c>
    </row>
    <row r="27" spans="1:5" ht="16" x14ac:dyDescent="0.2">
      <c r="A27" s="2" t="s">
        <v>83</v>
      </c>
      <c r="B27" s="3" t="s">
        <v>100</v>
      </c>
      <c r="C27" s="4">
        <v>2273</v>
      </c>
      <c r="D27" s="4">
        <v>1068766</v>
      </c>
      <c r="E27" s="5" t="s">
        <v>397</v>
      </c>
    </row>
    <row r="28" spans="1:5" ht="16" x14ac:dyDescent="0.2">
      <c r="A28" s="2" t="s">
        <v>85</v>
      </c>
      <c r="B28" s="3" t="s">
        <v>110</v>
      </c>
      <c r="C28" s="4">
        <v>2156</v>
      </c>
      <c r="D28" s="4">
        <v>1053992.5</v>
      </c>
      <c r="E28" s="5" t="s">
        <v>398</v>
      </c>
    </row>
    <row r="29" spans="1:5" ht="16" x14ac:dyDescent="0.2">
      <c r="A29" s="2" t="s">
        <v>87</v>
      </c>
      <c r="B29" s="3" t="s">
        <v>187</v>
      </c>
      <c r="C29" s="4">
        <v>2813</v>
      </c>
      <c r="D29" s="4">
        <v>1043958</v>
      </c>
      <c r="E29" s="5" t="s">
        <v>267</v>
      </c>
    </row>
    <row r="30" spans="1:5" ht="16" x14ac:dyDescent="0.2">
      <c r="A30" s="2" t="s">
        <v>89</v>
      </c>
      <c r="B30" s="3" t="s">
        <v>172</v>
      </c>
      <c r="C30" s="4">
        <v>2091</v>
      </c>
      <c r="D30" s="4">
        <v>1043117</v>
      </c>
      <c r="E30" s="5" t="s">
        <v>267</v>
      </c>
    </row>
    <row r="31" spans="1:5" ht="16" x14ac:dyDescent="0.2">
      <c r="A31" s="2" t="s">
        <v>90</v>
      </c>
      <c r="B31" s="3" t="s">
        <v>145</v>
      </c>
      <c r="C31" s="4">
        <v>2177</v>
      </c>
      <c r="D31" s="4">
        <v>1039859</v>
      </c>
      <c r="E31" s="5" t="s">
        <v>308</v>
      </c>
    </row>
    <row r="32" spans="1:5" ht="16" x14ac:dyDescent="0.2">
      <c r="A32" s="2" t="s">
        <v>92</v>
      </c>
      <c r="B32" s="3" t="s">
        <v>102</v>
      </c>
      <c r="C32" s="4">
        <v>1910</v>
      </c>
      <c r="D32" s="4">
        <v>1025039</v>
      </c>
      <c r="E32" s="5" t="s">
        <v>322</v>
      </c>
    </row>
    <row r="33" spans="1:5" ht="16" x14ac:dyDescent="0.2">
      <c r="A33" s="2" t="s">
        <v>94</v>
      </c>
      <c r="B33" s="3" t="s">
        <v>73</v>
      </c>
      <c r="C33" s="4">
        <v>2208</v>
      </c>
      <c r="D33" s="4">
        <v>1023525.5</v>
      </c>
      <c r="E33" s="5" t="s">
        <v>322</v>
      </c>
    </row>
    <row r="34" spans="1:5" ht="16" x14ac:dyDescent="0.2">
      <c r="A34" s="2" t="s">
        <v>96</v>
      </c>
      <c r="B34" s="3" t="s">
        <v>1</v>
      </c>
      <c r="C34" s="4">
        <v>1878</v>
      </c>
      <c r="D34" s="4">
        <v>1012146</v>
      </c>
      <c r="E34" s="5" t="s">
        <v>310</v>
      </c>
    </row>
    <row r="35" spans="1:5" ht="16" x14ac:dyDescent="0.2">
      <c r="A35" s="2" t="s">
        <v>159</v>
      </c>
      <c r="B35" s="3" t="s">
        <v>93</v>
      </c>
      <c r="C35" s="4">
        <v>2242</v>
      </c>
      <c r="D35" s="4">
        <v>966151</v>
      </c>
      <c r="E35" s="5" t="s">
        <v>422</v>
      </c>
    </row>
    <row r="36" spans="1:5" ht="16" x14ac:dyDescent="0.2">
      <c r="A36" s="2" t="s">
        <v>98</v>
      </c>
      <c r="B36" s="3" t="s">
        <v>91</v>
      </c>
      <c r="C36" s="4">
        <v>2115</v>
      </c>
      <c r="D36" s="4">
        <v>954593.5</v>
      </c>
      <c r="E36" s="5" t="s">
        <v>298</v>
      </c>
    </row>
    <row r="37" spans="1:5" ht="16" x14ac:dyDescent="0.2">
      <c r="A37" s="2" t="s">
        <v>160</v>
      </c>
      <c r="B37" s="3" t="s">
        <v>81</v>
      </c>
      <c r="C37" s="4">
        <v>2018</v>
      </c>
      <c r="D37" s="4">
        <v>934152</v>
      </c>
      <c r="E37" s="5" t="s">
        <v>245</v>
      </c>
    </row>
    <row r="38" spans="1:5" ht="16" x14ac:dyDescent="0.2">
      <c r="A38" s="2" t="s">
        <v>101</v>
      </c>
      <c r="B38" s="3" t="s">
        <v>86</v>
      </c>
      <c r="C38" s="4">
        <v>1705</v>
      </c>
      <c r="D38" s="4">
        <v>927612.5</v>
      </c>
      <c r="E38" s="5" t="s">
        <v>245</v>
      </c>
    </row>
    <row r="39" spans="1:5" ht="16" x14ac:dyDescent="0.2">
      <c r="A39" s="2" t="s">
        <v>103</v>
      </c>
      <c r="B39" s="3" t="s">
        <v>3</v>
      </c>
      <c r="C39" s="4">
        <v>2454</v>
      </c>
      <c r="D39" s="4">
        <v>927230</v>
      </c>
      <c r="E39" s="5" t="s">
        <v>245</v>
      </c>
    </row>
    <row r="40" spans="1:5" ht="16" x14ac:dyDescent="0.2">
      <c r="A40" s="2" t="s">
        <v>105</v>
      </c>
      <c r="B40" s="3" t="s">
        <v>113</v>
      </c>
      <c r="C40" s="4">
        <v>2117</v>
      </c>
      <c r="D40" s="4">
        <v>926288</v>
      </c>
      <c r="E40" s="5" t="s">
        <v>245</v>
      </c>
    </row>
    <row r="41" spans="1:5" ht="16" x14ac:dyDescent="0.2">
      <c r="A41" s="2" t="s">
        <v>107</v>
      </c>
      <c r="B41" s="3" t="s">
        <v>38</v>
      </c>
      <c r="C41" s="4">
        <v>1972</v>
      </c>
      <c r="D41" s="4">
        <v>914434.5</v>
      </c>
      <c r="E41" s="5" t="s">
        <v>372</v>
      </c>
    </row>
    <row r="42" spans="1:5" ht="16" x14ac:dyDescent="0.2">
      <c r="A42" s="2" t="s">
        <v>109</v>
      </c>
      <c r="B42" s="3" t="s">
        <v>5</v>
      </c>
      <c r="C42" s="4">
        <v>2004</v>
      </c>
      <c r="D42" s="4">
        <v>911477</v>
      </c>
      <c r="E42" s="5" t="s">
        <v>329</v>
      </c>
    </row>
    <row r="43" spans="1:5" ht="16" x14ac:dyDescent="0.2">
      <c r="A43" s="2" t="s">
        <v>111</v>
      </c>
      <c r="B43" s="3" t="s">
        <v>170</v>
      </c>
      <c r="C43" s="4">
        <v>2007</v>
      </c>
      <c r="D43" s="4">
        <v>907440</v>
      </c>
      <c r="E43" s="5" t="s">
        <v>329</v>
      </c>
    </row>
    <row r="44" spans="1:5" ht="16" x14ac:dyDescent="0.2">
      <c r="A44" s="2" t="s">
        <v>112</v>
      </c>
      <c r="B44" s="3" t="s">
        <v>99</v>
      </c>
      <c r="C44" s="4">
        <v>2073</v>
      </c>
      <c r="D44" s="4">
        <v>907139</v>
      </c>
      <c r="E44" s="5" t="s">
        <v>329</v>
      </c>
    </row>
    <row r="45" spans="1:5" ht="16" x14ac:dyDescent="0.2">
      <c r="A45" s="2" t="s">
        <v>114</v>
      </c>
      <c r="B45" s="3" t="s">
        <v>95</v>
      </c>
      <c r="C45" s="4">
        <v>1881</v>
      </c>
      <c r="D45" s="4">
        <v>905963</v>
      </c>
      <c r="E45" s="5" t="s">
        <v>329</v>
      </c>
    </row>
    <row r="46" spans="1:5" ht="16" x14ac:dyDescent="0.2">
      <c r="A46" s="2" t="s">
        <v>116</v>
      </c>
      <c r="B46" s="3" t="s">
        <v>121</v>
      </c>
      <c r="C46" s="4">
        <v>1884</v>
      </c>
      <c r="D46" s="4">
        <v>866040.5</v>
      </c>
      <c r="E46" s="5" t="s">
        <v>363</v>
      </c>
    </row>
    <row r="47" spans="1:5" ht="16" x14ac:dyDescent="0.2">
      <c r="A47" s="2" t="s">
        <v>149</v>
      </c>
      <c r="B47" s="3" t="s">
        <v>104</v>
      </c>
      <c r="C47" s="4">
        <v>2479</v>
      </c>
      <c r="D47" s="4">
        <v>863074</v>
      </c>
      <c r="E47" s="5" t="s">
        <v>367</v>
      </c>
    </row>
    <row r="48" spans="1:5" ht="16" x14ac:dyDescent="0.2">
      <c r="A48" s="2" t="s">
        <v>117</v>
      </c>
      <c r="B48" s="3" t="s">
        <v>108</v>
      </c>
      <c r="C48" s="4">
        <v>2053</v>
      </c>
      <c r="D48" s="4">
        <v>857060</v>
      </c>
      <c r="E48" s="5" t="s">
        <v>367</v>
      </c>
    </row>
    <row r="49" spans="1:5" ht="16" x14ac:dyDescent="0.2">
      <c r="A49" s="2" t="s">
        <v>119</v>
      </c>
      <c r="B49" s="3" t="s">
        <v>331</v>
      </c>
      <c r="C49" s="4">
        <v>2047</v>
      </c>
      <c r="D49" s="4">
        <v>845565</v>
      </c>
      <c r="E49" s="5" t="s">
        <v>405</v>
      </c>
    </row>
    <row r="50" spans="1:5" ht="16" x14ac:dyDescent="0.2">
      <c r="A50" s="2" t="s">
        <v>120</v>
      </c>
      <c r="B50" s="3" t="s">
        <v>97</v>
      </c>
      <c r="C50" s="4">
        <v>1689</v>
      </c>
      <c r="D50" s="4">
        <v>766832</v>
      </c>
      <c r="E50" s="5" t="s">
        <v>336</v>
      </c>
    </row>
    <row r="51" spans="1:5" ht="16" x14ac:dyDescent="0.2">
      <c r="A51" s="2" t="s">
        <v>122</v>
      </c>
      <c r="B51" s="3" t="s">
        <v>158</v>
      </c>
      <c r="C51" s="4">
        <v>44</v>
      </c>
      <c r="D51" s="4">
        <v>738085</v>
      </c>
      <c r="E51" s="5" t="s">
        <v>199</v>
      </c>
    </row>
    <row r="52" spans="1:5" ht="16" x14ac:dyDescent="0.2">
      <c r="A52" s="2" t="s">
        <v>123</v>
      </c>
      <c r="B52" s="3" t="s">
        <v>115</v>
      </c>
      <c r="C52" s="4">
        <v>1758</v>
      </c>
      <c r="D52" s="4">
        <v>712782</v>
      </c>
      <c r="E52" s="5" t="s">
        <v>382</v>
      </c>
    </row>
    <row r="53" spans="1:5" ht="16" x14ac:dyDescent="0.2">
      <c r="A53" s="2" t="s">
        <v>125</v>
      </c>
      <c r="B53" s="3" t="s">
        <v>315</v>
      </c>
      <c r="C53" s="4">
        <v>1925</v>
      </c>
      <c r="D53" s="4">
        <v>689130</v>
      </c>
      <c r="E53" s="5" t="s">
        <v>291</v>
      </c>
    </row>
    <row r="54" spans="1:5" ht="16" x14ac:dyDescent="0.2">
      <c r="A54" s="2" t="s">
        <v>127</v>
      </c>
      <c r="B54" s="3" t="s">
        <v>51</v>
      </c>
      <c r="C54" s="4">
        <v>1340</v>
      </c>
      <c r="D54" s="4">
        <v>682375</v>
      </c>
      <c r="E54" s="5" t="s">
        <v>291</v>
      </c>
    </row>
    <row r="55" spans="1:5" ht="16" x14ac:dyDescent="0.2">
      <c r="A55" s="2" t="s">
        <v>161</v>
      </c>
      <c r="B55" s="3" t="s">
        <v>143</v>
      </c>
      <c r="C55" s="4">
        <v>1397</v>
      </c>
      <c r="D55" s="4">
        <v>681697</v>
      </c>
      <c r="E55" s="5" t="s">
        <v>291</v>
      </c>
    </row>
    <row r="56" spans="1:5" ht="16" x14ac:dyDescent="0.2">
      <c r="A56" s="2" t="s">
        <v>129</v>
      </c>
      <c r="B56" s="3" t="s">
        <v>37</v>
      </c>
      <c r="C56" s="4">
        <v>2556</v>
      </c>
      <c r="D56" s="4">
        <v>649434</v>
      </c>
      <c r="E56" s="5" t="s">
        <v>309</v>
      </c>
    </row>
    <row r="57" spans="1:5" ht="16" x14ac:dyDescent="0.2">
      <c r="A57" s="2" t="s">
        <v>130</v>
      </c>
      <c r="B57" s="3" t="s">
        <v>118</v>
      </c>
      <c r="C57" s="4">
        <v>1656</v>
      </c>
      <c r="D57" s="4">
        <v>643899.43000000005</v>
      </c>
      <c r="E57" s="5" t="s">
        <v>364</v>
      </c>
    </row>
    <row r="58" spans="1:5" ht="16" x14ac:dyDescent="0.2">
      <c r="A58" s="2" t="s">
        <v>162</v>
      </c>
      <c r="B58" s="3" t="s">
        <v>106</v>
      </c>
      <c r="C58" s="4">
        <v>1228</v>
      </c>
      <c r="D58" s="4">
        <v>629656</v>
      </c>
      <c r="E58" s="5" t="s">
        <v>275</v>
      </c>
    </row>
    <row r="59" spans="1:5" ht="16" x14ac:dyDescent="0.2">
      <c r="A59" s="2" t="s">
        <v>132</v>
      </c>
      <c r="B59" s="3" t="s">
        <v>184</v>
      </c>
      <c r="C59" s="4">
        <v>1295</v>
      </c>
      <c r="D59" s="4">
        <v>607299.6</v>
      </c>
      <c r="E59" s="5" t="s">
        <v>361</v>
      </c>
    </row>
    <row r="60" spans="1:5" ht="16" x14ac:dyDescent="0.2">
      <c r="A60" s="2" t="s">
        <v>163</v>
      </c>
      <c r="B60" s="3" t="s">
        <v>126</v>
      </c>
      <c r="C60" s="4">
        <v>1200</v>
      </c>
      <c r="D60" s="4">
        <v>583677.44999999995</v>
      </c>
      <c r="E60" s="5" t="s">
        <v>284</v>
      </c>
    </row>
    <row r="61" spans="1:5" ht="16" x14ac:dyDescent="0.2">
      <c r="A61" s="2" t="s">
        <v>133</v>
      </c>
      <c r="B61" s="3" t="s">
        <v>190</v>
      </c>
      <c r="C61" s="4">
        <v>1177</v>
      </c>
      <c r="D61" s="4">
        <v>561004</v>
      </c>
      <c r="E61" s="5" t="s">
        <v>280</v>
      </c>
    </row>
    <row r="62" spans="1:5" ht="16" x14ac:dyDescent="0.2">
      <c r="A62" s="2" t="s">
        <v>134</v>
      </c>
      <c r="B62" s="3" t="s">
        <v>246</v>
      </c>
      <c r="C62" s="4">
        <v>1521</v>
      </c>
      <c r="D62" s="4">
        <v>540810.5</v>
      </c>
      <c r="E62" s="5" t="s">
        <v>252</v>
      </c>
    </row>
    <row r="63" spans="1:5" ht="16" x14ac:dyDescent="0.2">
      <c r="A63" s="2" t="s">
        <v>135</v>
      </c>
      <c r="B63" s="3" t="s">
        <v>36</v>
      </c>
      <c r="C63" s="4">
        <v>2173</v>
      </c>
      <c r="D63" s="4">
        <v>537258</v>
      </c>
      <c r="E63" s="5" t="s">
        <v>223</v>
      </c>
    </row>
    <row r="64" spans="1:5" ht="16" x14ac:dyDescent="0.2">
      <c r="A64" s="2" t="s">
        <v>136</v>
      </c>
      <c r="B64" s="3" t="s">
        <v>300</v>
      </c>
      <c r="C64" s="4">
        <v>5</v>
      </c>
      <c r="D64" s="4">
        <v>517775</v>
      </c>
      <c r="E64" s="5" t="s">
        <v>227</v>
      </c>
    </row>
    <row r="65" spans="1:5" ht="16" x14ac:dyDescent="0.2">
      <c r="A65" s="2" t="s">
        <v>164</v>
      </c>
      <c r="B65" s="3" t="s">
        <v>40</v>
      </c>
      <c r="C65" s="4">
        <v>1310</v>
      </c>
      <c r="D65" s="4">
        <v>502079</v>
      </c>
      <c r="E65" s="5" t="s">
        <v>351</v>
      </c>
    </row>
    <row r="66" spans="1:5" ht="16" x14ac:dyDescent="0.2">
      <c r="A66" s="2" t="s">
        <v>137</v>
      </c>
      <c r="B66" s="3" t="s">
        <v>165</v>
      </c>
      <c r="C66" s="4">
        <v>1072</v>
      </c>
      <c r="D66" s="4">
        <v>495759</v>
      </c>
      <c r="E66" s="5" t="s">
        <v>351</v>
      </c>
    </row>
    <row r="67" spans="1:5" ht="16" x14ac:dyDescent="0.2">
      <c r="A67" s="2" t="s">
        <v>150</v>
      </c>
      <c r="B67" s="3" t="s">
        <v>346</v>
      </c>
      <c r="C67" s="4">
        <v>1353</v>
      </c>
      <c r="D67" s="4">
        <v>488344</v>
      </c>
      <c r="E67" s="5" t="s">
        <v>312</v>
      </c>
    </row>
    <row r="68" spans="1:5" ht="16" x14ac:dyDescent="0.2">
      <c r="A68" s="2" t="s">
        <v>138</v>
      </c>
      <c r="B68" s="3" t="s">
        <v>131</v>
      </c>
      <c r="C68" s="4">
        <v>1038</v>
      </c>
      <c r="D68" s="4">
        <v>486162</v>
      </c>
      <c r="E68" s="5" t="s">
        <v>312</v>
      </c>
    </row>
    <row r="69" spans="1:5" ht="16" x14ac:dyDescent="0.2">
      <c r="A69" s="2" t="s">
        <v>151</v>
      </c>
      <c r="B69" s="3" t="s">
        <v>39</v>
      </c>
      <c r="C69" s="4">
        <v>1160</v>
      </c>
      <c r="D69" s="4">
        <v>466824</v>
      </c>
      <c r="E69" s="5" t="s">
        <v>282</v>
      </c>
    </row>
    <row r="70" spans="1:5" ht="16" x14ac:dyDescent="0.2">
      <c r="A70" s="2" t="s">
        <v>153</v>
      </c>
      <c r="B70" s="3" t="s">
        <v>124</v>
      </c>
      <c r="C70" s="4">
        <v>907</v>
      </c>
      <c r="D70" s="4">
        <v>455664</v>
      </c>
      <c r="E70" s="5" t="s">
        <v>339</v>
      </c>
    </row>
    <row r="71" spans="1:5" ht="16" x14ac:dyDescent="0.2">
      <c r="A71" s="2" t="s">
        <v>166</v>
      </c>
      <c r="B71" s="3" t="s">
        <v>152</v>
      </c>
      <c r="C71" s="4">
        <v>1170</v>
      </c>
      <c r="D71" s="4">
        <v>451876</v>
      </c>
      <c r="E71" s="5" t="s">
        <v>339</v>
      </c>
    </row>
    <row r="72" spans="1:5" ht="16" x14ac:dyDescent="0.2">
      <c r="A72" s="2" t="s">
        <v>167</v>
      </c>
      <c r="B72" s="3" t="s">
        <v>128</v>
      </c>
      <c r="C72" s="4">
        <v>979</v>
      </c>
      <c r="D72" s="4">
        <v>449434.5</v>
      </c>
      <c r="E72" s="5" t="s">
        <v>339</v>
      </c>
    </row>
    <row r="73" spans="1:5" ht="16" x14ac:dyDescent="0.2">
      <c r="A73" s="2" t="s">
        <v>173</v>
      </c>
      <c r="B73" s="3" t="s">
        <v>347</v>
      </c>
      <c r="C73" s="4">
        <v>1289</v>
      </c>
      <c r="D73" s="4">
        <v>426504</v>
      </c>
      <c r="E73" s="5" t="s">
        <v>281</v>
      </c>
    </row>
    <row r="74" spans="1:5" ht="16" x14ac:dyDescent="0.2">
      <c r="A74" s="2" t="s">
        <v>174</v>
      </c>
      <c r="B74" s="3" t="s">
        <v>196</v>
      </c>
      <c r="C74" s="4">
        <v>883</v>
      </c>
      <c r="D74" s="4">
        <v>365490</v>
      </c>
      <c r="E74" s="5" t="s">
        <v>340</v>
      </c>
    </row>
    <row r="75" spans="1:5" ht="16" x14ac:dyDescent="0.2">
      <c r="A75" s="2" t="s">
        <v>175</v>
      </c>
      <c r="B75" s="3" t="s">
        <v>183</v>
      </c>
      <c r="C75" s="4">
        <v>437</v>
      </c>
      <c r="D75" s="4">
        <v>339439</v>
      </c>
      <c r="E75" s="5" t="s">
        <v>352</v>
      </c>
    </row>
    <row r="76" spans="1:5" ht="16" x14ac:dyDescent="0.2">
      <c r="A76" s="2" t="s">
        <v>177</v>
      </c>
      <c r="B76" s="3" t="s">
        <v>355</v>
      </c>
      <c r="C76" s="4">
        <v>810</v>
      </c>
      <c r="D76" s="4">
        <v>301910</v>
      </c>
      <c r="E76" s="5" t="s">
        <v>399</v>
      </c>
    </row>
    <row r="77" spans="1:5" ht="16" x14ac:dyDescent="0.2">
      <c r="A77" s="2" t="s">
        <v>178</v>
      </c>
      <c r="B77" s="3" t="s">
        <v>6</v>
      </c>
      <c r="C77" s="4">
        <v>654</v>
      </c>
      <c r="D77" s="4">
        <v>262335.5</v>
      </c>
      <c r="E77" s="5" t="s">
        <v>304</v>
      </c>
    </row>
    <row r="78" spans="1:5" ht="16" x14ac:dyDescent="0.2">
      <c r="A78" s="2" t="s">
        <v>185</v>
      </c>
      <c r="B78" s="3" t="s">
        <v>276</v>
      </c>
      <c r="C78" s="4">
        <v>578</v>
      </c>
      <c r="D78" s="4">
        <v>200430</v>
      </c>
      <c r="E78" s="5" t="s">
        <v>368</v>
      </c>
    </row>
    <row r="79" spans="1:5" ht="16" x14ac:dyDescent="0.2">
      <c r="A79" s="2" t="s">
        <v>186</v>
      </c>
      <c r="B79" s="3" t="s">
        <v>7</v>
      </c>
      <c r="C79" s="4">
        <v>736</v>
      </c>
      <c r="D79" s="4">
        <v>189522</v>
      </c>
      <c r="E79" s="5" t="s">
        <v>316</v>
      </c>
    </row>
    <row r="80" spans="1:5" ht="16" x14ac:dyDescent="0.2">
      <c r="A80" s="2" t="s">
        <v>201</v>
      </c>
      <c r="B80" s="3" t="s">
        <v>386</v>
      </c>
      <c r="C80" s="4">
        <v>315</v>
      </c>
      <c r="D80" s="4">
        <v>91370</v>
      </c>
      <c r="E80" s="5" t="s">
        <v>362</v>
      </c>
    </row>
    <row r="81" spans="1:5" ht="16" x14ac:dyDescent="0.2">
      <c r="A81" s="2" t="s">
        <v>202</v>
      </c>
      <c r="B81" s="3" t="s">
        <v>191</v>
      </c>
      <c r="C81" s="4">
        <v>183</v>
      </c>
      <c r="D81" s="4">
        <v>80961</v>
      </c>
      <c r="E81" s="5" t="s">
        <v>380</v>
      </c>
    </row>
    <row r="82" spans="1:5" ht="16" x14ac:dyDescent="0.2">
      <c r="A82" s="2" t="s">
        <v>203</v>
      </c>
      <c r="B82" s="3" t="s">
        <v>356</v>
      </c>
      <c r="C82" s="4">
        <v>97</v>
      </c>
      <c r="D82" s="4">
        <v>43680</v>
      </c>
      <c r="E82" s="5" t="s">
        <v>370</v>
      </c>
    </row>
    <row r="83" spans="1:5" ht="16" x14ac:dyDescent="0.2">
      <c r="A83" s="2" t="s">
        <v>204</v>
      </c>
      <c r="B83" s="3" t="s">
        <v>348</v>
      </c>
      <c r="C83" s="4">
        <v>82</v>
      </c>
      <c r="D83" s="4">
        <v>18845</v>
      </c>
      <c r="E83" s="5" t="s">
        <v>357</v>
      </c>
    </row>
    <row r="84" spans="1:5" ht="16" x14ac:dyDescent="0.2">
      <c r="A84" s="2" t="s">
        <v>205</v>
      </c>
      <c r="B84" s="3" t="s">
        <v>349</v>
      </c>
      <c r="C84" s="4">
        <v>1</v>
      </c>
      <c r="D84" s="4">
        <v>18270</v>
      </c>
      <c r="E84" s="5" t="s">
        <v>357</v>
      </c>
    </row>
    <row r="85" spans="1:5" ht="16" x14ac:dyDescent="0.2">
      <c r="A85" s="2" t="s">
        <v>212</v>
      </c>
      <c r="B85" s="3" t="s">
        <v>220</v>
      </c>
      <c r="C85" s="4">
        <v>60</v>
      </c>
      <c r="D85" s="4">
        <v>14733</v>
      </c>
      <c r="E85" s="5" t="s">
        <v>286</v>
      </c>
    </row>
    <row r="86" spans="1:5" ht="16" x14ac:dyDescent="0.2">
      <c r="A86" s="2" t="s">
        <v>217</v>
      </c>
      <c r="B86" s="3" t="s">
        <v>358</v>
      </c>
      <c r="C86" s="4">
        <v>0</v>
      </c>
      <c r="D86" s="4">
        <v>0</v>
      </c>
      <c r="E86" s="5" t="s">
        <v>181</v>
      </c>
    </row>
    <row r="87" spans="1:5" ht="16" x14ac:dyDescent="0.2">
      <c r="A87" s="2" t="s">
        <v>218</v>
      </c>
      <c r="B87" s="3" t="s">
        <v>293</v>
      </c>
      <c r="C87" s="4">
        <v>0</v>
      </c>
      <c r="D87" s="4">
        <v>0</v>
      </c>
      <c r="E87" s="5" t="s">
        <v>181</v>
      </c>
    </row>
    <row r="88" spans="1:5" ht="16" x14ac:dyDescent="0.2">
      <c r="A88" s="2" t="s">
        <v>219</v>
      </c>
      <c r="B88" s="3" t="s">
        <v>182</v>
      </c>
      <c r="C88" s="4">
        <v>-1382</v>
      </c>
      <c r="D88" s="4">
        <v>-450354.29000000015</v>
      </c>
      <c r="E88" s="5" t="s">
        <v>403</v>
      </c>
    </row>
    <row r="90" spans="1:5" ht="16" x14ac:dyDescent="0.2">
      <c r="B90" s="2" t="s">
        <v>139</v>
      </c>
      <c r="C90" s="6" t="s">
        <v>140</v>
      </c>
    </row>
    <row r="91" spans="1:5" ht="16" x14ac:dyDescent="0.2">
      <c r="B91" s="2" t="s">
        <v>141</v>
      </c>
      <c r="C91" s="6" t="s">
        <v>423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4724-EF75-E74B-96F6-0CAD014CA6F5}">
  <sheetPr codeName="Sheet3">
    <tabColor theme="1"/>
  </sheetPr>
  <dimension ref="A1:E112"/>
  <sheetViews>
    <sheetView workbookViewId="0">
      <selection activeCell="B25" sqref="B25"/>
    </sheetView>
  </sheetViews>
  <sheetFormatPr baseColWidth="10" defaultColWidth="7.5703125" defaultRowHeight="15" x14ac:dyDescent="0.15"/>
  <cols>
    <col min="1" max="5" width="17.140625" customWidth="1" collapsed="1"/>
  </cols>
  <sheetData>
    <row r="1" spans="1:5" ht="16" x14ac:dyDescent="0.2">
      <c r="A1" s="7" t="s">
        <v>390</v>
      </c>
    </row>
    <row r="2" spans="1:5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5" ht="16" x14ac:dyDescent="0.2">
      <c r="A3" s="2" t="s">
        <v>154</v>
      </c>
      <c r="B3" s="3" t="s">
        <v>155</v>
      </c>
      <c r="C3" s="4">
        <v>250401</v>
      </c>
      <c r="D3" s="4">
        <v>84855273.280001581</v>
      </c>
      <c r="E3" s="5" t="s">
        <v>391</v>
      </c>
    </row>
    <row r="4" spans="1:5" ht="16" x14ac:dyDescent="0.2">
      <c r="A4" s="2" t="s">
        <v>48</v>
      </c>
      <c r="B4" s="3" t="s">
        <v>65</v>
      </c>
      <c r="C4" s="4">
        <v>6282</v>
      </c>
      <c r="D4" s="4">
        <v>2519620</v>
      </c>
      <c r="E4" s="5" t="s">
        <v>392</v>
      </c>
    </row>
    <row r="5" spans="1:5" ht="16" x14ac:dyDescent="0.2">
      <c r="A5" s="2" t="s">
        <v>50</v>
      </c>
      <c r="B5" s="3" t="s">
        <v>74</v>
      </c>
      <c r="C5" s="4">
        <v>4120</v>
      </c>
      <c r="D5" s="4">
        <v>2127079.38</v>
      </c>
      <c r="E5" s="5" t="s">
        <v>393</v>
      </c>
    </row>
    <row r="6" spans="1:5" ht="16" x14ac:dyDescent="0.2">
      <c r="A6" s="2" t="s">
        <v>52</v>
      </c>
      <c r="B6" s="3" t="s">
        <v>53</v>
      </c>
      <c r="C6" s="4">
        <v>4333</v>
      </c>
      <c r="D6" s="4">
        <v>2090030.79</v>
      </c>
      <c r="E6" s="5" t="s">
        <v>381</v>
      </c>
    </row>
    <row r="7" spans="1:5" ht="16" x14ac:dyDescent="0.2">
      <c r="A7" s="2" t="s">
        <v>54</v>
      </c>
      <c r="B7" s="3" t="s">
        <v>56</v>
      </c>
      <c r="C7" s="4">
        <v>3774</v>
      </c>
      <c r="D7" s="4">
        <v>2022108</v>
      </c>
      <c r="E7" s="5" t="s">
        <v>394</v>
      </c>
    </row>
    <row r="8" spans="1:5" ht="16" x14ac:dyDescent="0.2">
      <c r="A8" s="2" t="s">
        <v>55</v>
      </c>
      <c r="B8" s="3" t="s">
        <v>231</v>
      </c>
      <c r="C8" s="4">
        <v>3704</v>
      </c>
      <c r="D8" s="4">
        <v>1847713.5</v>
      </c>
      <c r="E8" s="5" t="s">
        <v>395</v>
      </c>
    </row>
    <row r="9" spans="1:5" ht="16" x14ac:dyDescent="0.2">
      <c r="A9" s="2" t="s">
        <v>57</v>
      </c>
      <c r="B9" s="3" t="s">
        <v>49</v>
      </c>
      <c r="C9" s="4">
        <v>3688</v>
      </c>
      <c r="D9" s="4">
        <v>1807232</v>
      </c>
      <c r="E9" s="5" t="s">
        <v>371</v>
      </c>
    </row>
    <row r="10" spans="1:5" ht="16" x14ac:dyDescent="0.2">
      <c r="A10" s="2" t="s">
        <v>156</v>
      </c>
      <c r="B10" s="3" t="s">
        <v>2</v>
      </c>
      <c r="C10" s="4">
        <v>3464</v>
      </c>
      <c r="D10" s="4">
        <v>1799497.93</v>
      </c>
      <c r="E10" s="5" t="s">
        <v>371</v>
      </c>
    </row>
    <row r="11" spans="1:5" ht="16" x14ac:dyDescent="0.2">
      <c r="A11" s="2" t="s">
        <v>60</v>
      </c>
      <c r="B11" s="3" t="s">
        <v>81</v>
      </c>
      <c r="C11" s="4">
        <v>3737</v>
      </c>
      <c r="D11" s="4">
        <v>1737483.5</v>
      </c>
      <c r="E11" s="5" t="s">
        <v>396</v>
      </c>
    </row>
    <row r="12" spans="1:5" ht="16" x14ac:dyDescent="0.2">
      <c r="A12" s="2" t="s">
        <v>62</v>
      </c>
      <c r="B12" s="3" t="s">
        <v>142</v>
      </c>
      <c r="C12" s="4">
        <v>3263</v>
      </c>
      <c r="D12" s="4">
        <v>1668654</v>
      </c>
      <c r="E12" s="5" t="s">
        <v>384</v>
      </c>
    </row>
    <row r="13" spans="1:5" ht="16" x14ac:dyDescent="0.2">
      <c r="A13" s="2" t="s">
        <v>146</v>
      </c>
      <c r="B13" s="3" t="s">
        <v>58</v>
      </c>
      <c r="C13" s="4">
        <v>3640</v>
      </c>
      <c r="D13" s="4">
        <v>1664499.16</v>
      </c>
      <c r="E13" s="5" t="s">
        <v>384</v>
      </c>
    </row>
    <row r="14" spans="1:5" ht="16" x14ac:dyDescent="0.2">
      <c r="A14" s="2" t="s">
        <v>64</v>
      </c>
      <c r="B14" s="3" t="s">
        <v>84</v>
      </c>
      <c r="C14" s="4">
        <v>3162</v>
      </c>
      <c r="D14" s="4">
        <v>1579229.55</v>
      </c>
      <c r="E14" s="5" t="s">
        <v>397</v>
      </c>
    </row>
    <row r="15" spans="1:5" ht="16" x14ac:dyDescent="0.2">
      <c r="A15" s="2" t="s">
        <v>66</v>
      </c>
      <c r="B15" s="3" t="s">
        <v>4</v>
      </c>
      <c r="C15" s="4">
        <v>3361</v>
      </c>
      <c r="D15" s="4">
        <v>1557003</v>
      </c>
      <c r="E15" s="5" t="s">
        <v>398</v>
      </c>
    </row>
    <row r="16" spans="1:5" ht="16" x14ac:dyDescent="0.2">
      <c r="A16" s="2" t="s">
        <v>68</v>
      </c>
      <c r="B16" s="3" t="s">
        <v>61</v>
      </c>
      <c r="C16" s="4">
        <v>3265</v>
      </c>
      <c r="D16" s="4">
        <v>1549871.51</v>
      </c>
      <c r="E16" s="5" t="s">
        <v>267</v>
      </c>
    </row>
    <row r="17" spans="1:5" ht="16" x14ac:dyDescent="0.2">
      <c r="A17" s="2" t="s">
        <v>147</v>
      </c>
      <c r="B17" s="3" t="s">
        <v>63</v>
      </c>
      <c r="C17" s="4">
        <v>3229</v>
      </c>
      <c r="D17" s="4">
        <v>1527520</v>
      </c>
      <c r="E17" s="5" t="s">
        <v>308</v>
      </c>
    </row>
    <row r="18" spans="1:5" ht="16" x14ac:dyDescent="0.2">
      <c r="A18" s="2" t="s">
        <v>70</v>
      </c>
      <c r="B18" s="3" t="s">
        <v>67</v>
      </c>
      <c r="C18" s="4">
        <v>3038</v>
      </c>
      <c r="D18" s="4">
        <v>1484213</v>
      </c>
      <c r="E18" s="5" t="s">
        <v>388</v>
      </c>
    </row>
    <row r="19" spans="1:5" ht="16" x14ac:dyDescent="0.2">
      <c r="A19" s="2" t="s">
        <v>72</v>
      </c>
      <c r="B19" s="3" t="s">
        <v>69</v>
      </c>
      <c r="C19" s="4">
        <v>2781</v>
      </c>
      <c r="D19" s="4">
        <v>1403772</v>
      </c>
      <c r="E19" s="5" t="s">
        <v>298</v>
      </c>
    </row>
    <row r="20" spans="1:5" ht="16" x14ac:dyDescent="0.2">
      <c r="A20" s="2" t="s">
        <v>157</v>
      </c>
      <c r="B20" s="3" t="s">
        <v>266</v>
      </c>
      <c r="C20" s="4">
        <v>2630</v>
      </c>
      <c r="D20" s="4">
        <v>1391086</v>
      </c>
      <c r="E20" s="5" t="s">
        <v>350</v>
      </c>
    </row>
    <row r="21" spans="1:5" ht="16" x14ac:dyDescent="0.2">
      <c r="A21" s="2" t="s">
        <v>75</v>
      </c>
      <c r="B21" s="3" t="s">
        <v>88</v>
      </c>
      <c r="C21" s="4">
        <v>2689</v>
      </c>
      <c r="D21" s="4">
        <v>1363201.5</v>
      </c>
      <c r="E21" s="5" t="s">
        <v>372</v>
      </c>
    </row>
    <row r="22" spans="1:5" ht="16" x14ac:dyDescent="0.2">
      <c r="A22" s="2" t="s">
        <v>76</v>
      </c>
      <c r="B22" s="3" t="s">
        <v>144</v>
      </c>
      <c r="C22" s="4">
        <v>2954</v>
      </c>
      <c r="D22" s="4">
        <v>1355399</v>
      </c>
      <c r="E22" s="5" t="s">
        <v>372</v>
      </c>
    </row>
    <row r="23" spans="1:5" ht="16" x14ac:dyDescent="0.2">
      <c r="A23" s="2" t="s">
        <v>78</v>
      </c>
      <c r="B23" s="3" t="s">
        <v>172</v>
      </c>
      <c r="C23" s="4">
        <v>2576</v>
      </c>
      <c r="D23" s="4">
        <v>1329973</v>
      </c>
      <c r="E23" s="5" t="s">
        <v>297</v>
      </c>
    </row>
    <row r="24" spans="1:5" ht="16" x14ac:dyDescent="0.2">
      <c r="A24" s="2" t="s">
        <v>148</v>
      </c>
      <c r="B24" s="3" t="s">
        <v>79</v>
      </c>
      <c r="C24" s="4">
        <v>3017</v>
      </c>
      <c r="D24" s="4">
        <v>1324828</v>
      </c>
      <c r="E24" s="5" t="s">
        <v>297</v>
      </c>
    </row>
    <row r="25" spans="1:5" ht="16" x14ac:dyDescent="0.2">
      <c r="A25" s="2" t="s">
        <v>80</v>
      </c>
      <c r="B25" s="3" t="s">
        <v>77</v>
      </c>
      <c r="C25" s="4">
        <v>2478</v>
      </c>
      <c r="D25" s="4">
        <v>1286829.5</v>
      </c>
      <c r="E25" s="5" t="s">
        <v>363</v>
      </c>
    </row>
    <row r="26" spans="1:5" ht="16" x14ac:dyDescent="0.2">
      <c r="A26" s="2" t="s">
        <v>82</v>
      </c>
      <c r="B26" s="3" t="s">
        <v>59</v>
      </c>
      <c r="C26" s="4">
        <v>2503</v>
      </c>
      <c r="D26" s="4">
        <v>1222613</v>
      </c>
      <c r="E26" s="5" t="s">
        <v>274</v>
      </c>
    </row>
    <row r="27" spans="1:5" ht="16" x14ac:dyDescent="0.2">
      <c r="A27" s="2" t="s">
        <v>83</v>
      </c>
      <c r="B27" s="3" t="s">
        <v>187</v>
      </c>
      <c r="C27" s="4">
        <v>3197</v>
      </c>
      <c r="D27" s="4">
        <v>1221787.5</v>
      </c>
      <c r="E27" s="5" t="s">
        <v>274</v>
      </c>
    </row>
    <row r="28" spans="1:5" ht="16" x14ac:dyDescent="0.2">
      <c r="A28" s="2" t="s">
        <v>85</v>
      </c>
      <c r="B28" s="3" t="s">
        <v>145</v>
      </c>
      <c r="C28" s="4">
        <v>2574</v>
      </c>
      <c r="D28" s="4">
        <v>1204375.5</v>
      </c>
      <c r="E28" s="5" t="s">
        <v>283</v>
      </c>
    </row>
    <row r="29" spans="1:5" ht="16" x14ac:dyDescent="0.2">
      <c r="A29" s="2" t="s">
        <v>87</v>
      </c>
      <c r="B29" s="3" t="s">
        <v>93</v>
      </c>
      <c r="C29" s="4">
        <v>2256</v>
      </c>
      <c r="D29" s="4">
        <v>1199059</v>
      </c>
      <c r="E29" s="5" t="s">
        <v>283</v>
      </c>
    </row>
    <row r="30" spans="1:5" ht="16" x14ac:dyDescent="0.2">
      <c r="A30" s="2" t="s">
        <v>89</v>
      </c>
      <c r="B30" s="3" t="s">
        <v>210</v>
      </c>
      <c r="C30" s="4">
        <v>2460</v>
      </c>
      <c r="D30" s="4">
        <v>1196967.29</v>
      </c>
      <c r="E30" s="5" t="s">
        <v>283</v>
      </c>
    </row>
    <row r="31" spans="1:5" ht="16" x14ac:dyDescent="0.2">
      <c r="A31" s="2" t="s">
        <v>90</v>
      </c>
      <c r="B31" s="3" t="s">
        <v>100</v>
      </c>
      <c r="C31" s="4">
        <v>2414</v>
      </c>
      <c r="D31" s="4">
        <v>1180213.5000000002</v>
      </c>
      <c r="E31" s="5" t="s">
        <v>250</v>
      </c>
    </row>
    <row r="32" spans="1:5" ht="16" x14ac:dyDescent="0.2">
      <c r="A32" s="2" t="s">
        <v>92</v>
      </c>
      <c r="B32" s="3" t="s">
        <v>158</v>
      </c>
      <c r="C32" s="4">
        <v>53</v>
      </c>
      <c r="D32" s="4">
        <v>1174800</v>
      </c>
      <c r="E32" s="5" t="s">
        <v>268</v>
      </c>
    </row>
    <row r="33" spans="1:5" ht="16" x14ac:dyDescent="0.2">
      <c r="A33" s="2" t="s">
        <v>94</v>
      </c>
      <c r="B33" s="3" t="s">
        <v>38</v>
      </c>
      <c r="C33" s="4">
        <v>2259</v>
      </c>
      <c r="D33" s="4">
        <v>1159000.5</v>
      </c>
      <c r="E33" s="5" t="s">
        <v>290</v>
      </c>
    </row>
    <row r="34" spans="1:5" ht="16" x14ac:dyDescent="0.2">
      <c r="A34" s="2" t="s">
        <v>96</v>
      </c>
      <c r="B34" s="3" t="s">
        <v>5</v>
      </c>
      <c r="C34" s="4">
        <v>2134</v>
      </c>
      <c r="D34" s="4">
        <v>1101680</v>
      </c>
      <c r="E34" s="5" t="s">
        <v>199</v>
      </c>
    </row>
    <row r="35" spans="1:5" ht="16" x14ac:dyDescent="0.2">
      <c r="A35" s="2" t="s">
        <v>159</v>
      </c>
      <c r="B35" s="3" t="s">
        <v>170</v>
      </c>
      <c r="C35" s="4">
        <v>2319</v>
      </c>
      <c r="D35" s="4">
        <v>1101673</v>
      </c>
      <c r="E35" s="5" t="s">
        <v>199</v>
      </c>
    </row>
    <row r="36" spans="1:5" ht="16" x14ac:dyDescent="0.2">
      <c r="A36" s="2" t="s">
        <v>98</v>
      </c>
      <c r="B36" s="3" t="s">
        <v>288</v>
      </c>
      <c r="C36" s="4">
        <v>2425</v>
      </c>
      <c r="D36" s="4">
        <v>1050907</v>
      </c>
      <c r="E36" s="5" t="s">
        <v>382</v>
      </c>
    </row>
    <row r="37" spans="1:5" ht="16" x14ac:dyDescent="0.2">
      <c r="A37" s="2" t="s">
        <v>160</v>
      </c>
      <c r="B37" s="3" t="s">
        <v>113</v>
      </c>
      <c r="C37" s="4">
        <v>2210</v>
      </c>
      <c r="D37" s="4">
        <v>1050187</v>
      </c>
      <c r="E37" s="5" t="s">
        <v>382</v>
      </c>
    </row>
    <row r="38" spans="1:5" ht="16" x14ac:dyDescent="0.2">
      <c r="A38" s="2" t="s">
        <v>101</v>
      </c>
      <c r="B38" s="3" t="s">
        <v>71</v>
      </c>
      <c r="C38" s="4">
        <v>2283</v>
      </c>
      <c r="D38" s="4">
        <v>1034170.58</v>
      </c>
      <c r="E38" s="5" t="s">
        <v>303</v>
      </c>
    </row>
    <row r="39" spans="1:5" ht="16" x14ac:dyDescent="0.2">
      <c r="A39" s="2" t="s">
        <v>103</v>
      </c>
      <c r="B39" s="3" t="s">
        <v>39</v>
      </c>
      <c r="C39" s="4">
        <v>2466</v>
      </c>
      <c r="D39" s="4">
        <v>1029033.5</v>
      </c>
      <c r="E39" s="5" t="s">
        <v>303</v>
      </c>
    </row>
    <row r="40" spans="1:5" ht="16" x14ac:dyDescent="0.2">
      <c r="A40" s="2" t="s">
        <v>105</v>
      </c>
      <c r="B40" s="3" t="s">
        <v>188</v>
      </c>
      <c r="C40" s="4">
        <v>2341</v>
      </c>
      <c r="D40" s="4">
        <v>1021046.26</v>
      </c>
      <c r="E40" s="5" t="s">
        <v>291</v>
      </c>
    </row>
    <row r="41" spans="1:5" ht="16" x14ac:dyDescent="0.2">
      <c r="A41" s="2" t="s">
        <v>107</v>
      </c>
      <c r="B41" s="3" t="s">
        <v>121</v>
      </c>
      <c r="C41" s="4">
        <v>1967</v>
      </c>
      <c r="D41" s="4">
        <v>997340.92999999993</v>
      </c>
      <c r="E41" s="5" t="s">
        <v>337</v>
      </c>
    </row>
    <row r="42" spans="1:5" ht="16" x14ac:dyDescent="0.2">
      <c r="A42" s="2" t="s">
        <v>109</v>
      </c>
      <c r="B42" s="3" t="s">
        <v>3</v>
      </c>
      <c r="C42" s="4">
        <v>2416</v>
      </c>
      <c r="D42" s="4">
        <v>989396.5</v>
      </c>
      <c r="E42" s="5" t="s">
        <v>337</v>
      </c>
    </row>
    <row r="43" spans="1:5" ht="16" x14ac:dyDescent="0.2">
      <c r="A43" s="2" t="s">
        <v>111</v>
      </c>
      <c r="B43" s="3" t="s">
        <v>102</v>
      </c>
      <c r="C43" s="4">
        <v>1843</v>
      </c>
      <c r="D43" s="4">
        <v>982007.5</v>
      </c>
      <c r="E43" s="5" t="s">
        <v>330</v>
      </c>
    </row>
    <row r="44" spans="1:5" ht="16" x14ac:dyDescent="0.2">
      <c r="A44" s="2" t="s">
        <v>112</v>
      </c>
      <c r="B44" s="3" t="s">
        <v>110</v>
      </c>
      <c r="C44" s="4">
        <v>2011</v>
      </c>
      <c r="D44" s="4">
        <v>979113.5</v>
      </c>
      <c r="E44" s="5" t="s">
        <v>330</v>
      </c>
    </row>
    <row r="45" spans="1:5" ht="16" x14ac:dyDescent="0.2">
      <c r="A45" s="2" t="s">
        <v>114</v>
      </c>
      <c r="B45" s="3" t="s">
        <v>1</v>
      </c>
      <c r="C45" s="4">
        <v>1757</v>
      </c>
      <c r="D45" s="4">
        <v>973986.2</v>
      </c>
      <c r="E45" s="5" t="s">
        <v>330</v>
      </c>
    </row>
    <row r="46" spans="1:5" ht="16" x14ac:dyDescent="0.2">
      <c r="A46" s="2" t="s">
        <v>116</v>
      </c>
      <c r="B46" s="3" t="s">
        <v>91</v>
      </c>
      <c r="C46" s="4">
        <v>1852</v>
      </c>
      <c r="D46" s="4">
        <v>953389.5</v>
      </c>
      <c r="E46" s="5" t="s">
        <v>364</v>
      </c>
    </row>
    <row r="47" spans="1:5" ht="16" x14ac:dyDescent="0.2">
      <c r="A47" s="2" t="s">
        <v>149</v>
      </c>
      <c r="B47" s="3" t="s">
        <v>230</v>
      </c>
      <c r="C47" s="4">
        <v>1981</v>
      </c>
      <c r="D47" s="4">
        <v>946647</v>
      </c>
      <c r="E47" s="5" t="s">
        <v>364</v>
      </c>
    </row>
    <row r="48" spans="1:5" ht="16" x14ac:dyDescent="0.2">
      <c r="A48" s="2" t="s">
        <v>117</v>
      </c>
      <c r="B48" s="3" t="s">
        <v>95</v>
      </c>
      <c r="C48" s="4">
        <v>1694</v>
      </c>
      <c r="D48" s="4">
        <v>939354</v>
      </c>
      <c r="E48" s="5" t="s">
        <v>364</v>
      </c>
    </row>
    <row r="49" spans="1:5" ht="16" x14ac:dyDescent="0.2">
      <c r="A49" s="2" t="s">
        <v>119</v>
      </c>
      <c r="B49" s="3" t="s">
        <v>211</v>
      </c>
      <c r="C49" s="4">
        <v>2013</v>
      </c>
      <c r="D49" s="4">
        <v>920696.51</v>
      </c>
      <c r="E49" s="5" t="s">
        <v>275</v>
      </c>
    </row>
    <row r="50" spans="1:5" ht="16" x14ac:dyDescent="0.2">
      <c r="A50" s="2" t="s">
        <v>120</v>
      </c>
      <c r="B50" s="3" t="s">
        <v>104</v>
      </c>
      <c r="C50" s="4">
        <v>2173</v>
      </c>
      <c r="D50" s="4">
        <v>895200.92999999993</v>
      </c>
      <c r="E50" s="5" t="s">
        <v>361</v>
      </c>
    </row>
    <row r="51" spans="1:5" ht="16" x14ac:dyDescent="0.2">
      <c r="A51" s="2" t="s">
        <v>122</v>
      </c>
      <c r="B51" s="3" t="s">
        <v>242</v>
      </c>
      <c r="C51" s="4">
        <v>1640</v>
      </c>
      <c r="D51" s="4">
        <v>853608</v>
      </c>
      <c r="E51" s="5" t="s">
        <v>284</v>
      </c>
    </row>
    <row r="52" spans="1:5" ht="16" x14ac:dyDescent="0.2">
      <c r="A52" s="2" t="s">
        <v>123</v>
      </c>
      <c r="B52" s="3" t="s">
        <v>73</v>
      </c>
      <c r="C52" s="4">
        <v>1769</v>
      </c>
      <c r="D52" s="4">
        <v>814290.5</v>
      </c>
      <c r="E52" s="5" t="s">
        <v>252</v>
      </c>
    </row>
    <row r="53" spans="1:5" ht="16" x14ac:dyDescent="0.2">
      <c r="A53" s="2" t="s">
        <v>125</v>
      </c>
      <c r="B53" s="3" t="s">
        <v>99</v>
      </c>
      <c r="C53" s="4">
        <v>1740</v>
      </c>
      <c r="D53" s="4">
        <v>811963</v>
      </c>
      <c r="E53" s="5" t="s">
        <v>252</v>
      </c>
    </row>
    <row r="54" spans="1:5" ht="16" x14ac:dyDescent="0.2">
      <c r="A54" s="2" t="s">
        <v>127</v>
      </c>
      <c r="B54" s="3" t="s">
        <v>97</v>
      </c>
      <c r="C54" s="4">
        <v>1801</v>
      </c>
      <c r="D54" s="4">
        <v>807767</v>
      </c>
      <c r="E54" s="5" t="s">
        <v>252</v>
      </c>
    </row>
    <row r="55" spans="1:5" ht="16" x14ac:dyDescent="0.2">
      <c r="A55" s="2" t="s">
        <v>161</v>
      </c>
      <c r="B55" s="3" t="s">
        <v>247</v>
      </c>
      <c r="C55" s="4">
        <v>1888</v>
      </c>
      <c r="D55" s="4">
        <v>807503</v>
      </c>
      <c r="E55" s="5" t="s">
        <v>252</v>
      </c>
    </row>
    <row r="56" spans="1:5" ht="16" x14ac:dyDescent="0.2">
      <c r="A56" s="2" t="s">
        <v>129</v>
      </c>
      <c r="B56" s="3" t="s">
        <v>115</v>
      </c>
      <c r="C56" s="4">
        <v>1638</v>
      </c>
      <c r="D56" s="4">
        <v>793928</v>
      </c>
      <c r="E56" s="5" t="s">
        <v>223</v>
      </c>
    </row>
    <row r="57" spans="1:5" ht="16" x14ac:dyDescent="0.2">
      <c r="A57" s="2" t="s">
        <v>130</v>
      </c>
      <c r="B57" s="3" t="s">
        <v>108</v>
      </c>
      <c r="C57" s="4">
        <v>1662</v>
      </c>
      <c r="D57" s="4">
        <v>784810.5</v>
      </c>
      <c r="E57" s="5" t="s">
        <v>223</v>
      </c>
    </row>
    <row r="58" spans="1:5" ht="16" x14ac:dyDescent="0.2">
      <c r="A58" s="2" t="s">
        <v>162</v>
      </c>
      <c r="B58" s="3" t="s">
        <v>169</v>
      </c>
      <c r="C58" s="4">
        <v>2366</v>
      </c>
      <c r="D58" s="4">
        <v>780731</v>
      </c>
      <c r="E58" s="5" t="s">
        <v>227</v>
      </c>
    </row>
    <row r="59" spans="1:5" ht="16" x14ac:dyDescent="0.2">
      <c r="A59" s="2" t="s">
        <v>132</v>
      </c>
      <c r="B59" s="3" t="s">
        <v>248</v>
      </c>
      <c r="C59" s="4">
        <v>1705</v>
      </c>
      <c r="D59" s="4">
        <v>780394</v>
      </c>
      <c r="E59" s="5" t="s">
        <v>227</v>
      </c>
    </row>
    <row r="60" spans="1:5" ht="16" x14ac:dyDescent="0.2">
      <c r="A60" s="2" t="s">
        <v>163</v>
      </c>
      <c r="B60" s="3" t="s">
        <v>239</v>
      </c>
      <c r="C60" s="4">
        <v>1408</v>
      </c>
      <c r="D60" s="4">
        <v>770581</v>
      </c>
      <c r="E60" s="5" t="s">
        <v>227</v>
      </c>
    </row>
    <row r="61" spans="1:5" ht="16" x14ac:dyDescent="0.2">
      <c r="A61" s="2" t="s">
        <v>133</v>
      </c>
      <c r="B61" s="3" t="s">
        <v>86</v>
      </c>
      <c r="C61" s="4">
        <v>1371</v>
      </c>
      <c r="D61" s="4">
        <v>765501</v>
      </c>
      <c r="E61" s="5" t="s">
        <v>301</v>
      </c>
    </row>
    <row r="62" spans="1:5" ht="16" x14ac:dyDescent="0.2">
      <c r="A62" s="2" t="s">
        <v>134</v>
      </c>
      <c r="B62" s="3" t="s">
        <v>228</v>
      </c>
      <c r="C62" s="4">
        <v>1891</v>
      </c>
      <c r="D62" s="4">
        <v>762849</v>
      </c>
      <c r="E62" s="5" t="s">
        <v>301</v>
      </c>
    </row>
    <row r="63" spans="1:5" ht="16" x14ac:dyDescent="0.2">
      <c r="A63" s="2" t="s">
        <v>135</v>
      </c>
      <c r="B63" s="3" t="s">
        <v>143</v>
      </c>
      <c r="C63" s="4">
        <v>1447</v>
      </c>
      <c r="D63" s="4">
        <v>719550.5</v>
      </c>
      <c r="E63" s="5" t="s">
        <v>312</v>
      </c>
    </row>
    <row r="64" spans="1:5" ht="16" x14ac:dyDescent="0.2">
      <c r="A64" s="2" t="s">
        <v>136</v>
      </c>
      <c r="B64" s="3" t="s">
        <v>191</v>
      </c>
      <c r="C64" s="4">
        <v>1785</v>
      </c>
      <c r="D64" s="4">
        <v>719080.2</v>
      </c>
      <c r="E64" s="5" t="s">
        <v>312</v>
      </c>
    </row>
    <row r="65" spans="1:5" ht="16" x14ac:dyDescent="0.2">
      <c r="A65" s="2" t="s">
        <v>164</v>
      </c>
      <c r="B65" s="3" t="s">
        <v>197</v>
      </c>
      <c r="C65" s="4">
        <v>1584</v>
      </c>
      <c r="D65" s="4">
        <v>695770</v>
      </c>
      <c r="E65" s="5" t="s">
        <v>282</v>
      </c>
    </row>
    <row r="66" spans="1:5" ht="16" x14ac:dyDescent="0.2">
      <c r="A66" s="2" t="s">
        <v>137</v>
      </c>
      <c r="B66" s="3" t="s">
        <v>51</v>
      </c>
      <c r="C66" s="4">
        <v>1252</v>
      </c>
      <c r="D66" s="4">
        <v>691868</v>
      </c>
      <c r="E66" s="5" t="s">
        <v>282</v>
      </c>
    </row>
    <row r="67" spans="1:5" ht="16" x14ac:dyDescent="0.2">
      <c r="A67" s="2" t="s">
        <v>150</v>
      </c>
      <c r="B67" s="3" t="s">
        <v>183</v>
      </c>
      <c r="C67" s="4">
        <v>3387</v>
      </c>
      <c r="D67" s="4">
        <v>685985.5</v>
      </c>
      <c r="E67" s="5" t="s">
        <v>282</v>
      </c>
    </row>
    <row r="68" spans="1:5" ht="16" x14ac:dyDescent="0.2">
      <c r="A68" s="2" t="s">
        <v>138</v>
      </c>
      <c r="B68" s="3" t="s">
        <v>40</v>
      </c>
      <c r="C68" s="4">
        <v>1476</v>
      </c>
      <c r="D68" s="4">
        <v>673558</v>
      </c>
      <c r="E68" s="5" t="s">
        <v>339</v>
      </c>
    </row>
    <row r="69" spans="1:5" ht="16" x14ac:dyDescent="0.2">
      <c r="A69" s="2" t="s">
        <v>151</v>
      </c>
      <c r="B69" s="3" t="s">
        <v>106</v>
      </c>
      <c r="C69" s="4">
        <v>1172</v>
      </c>
      <c r="D69" s="4">
        <v>669665</v>
      </c>
      <c r="E69" s="5" t="s">
        <v>339</v>
      </c>
    </row>
    <row r="70" spans="1:5" ht="16" x14ac:dyDescent="0.2">
      <c r="A70" s="2" t="s">
        <v>153</v>
      </c>
      <c r="B70" s="3" t="s">
        <v>118</v>
      </c>
      <c r="C70" s="4">
        <v>1525</v>
      </c>
      <c r="D70" s="4">
        <v>649070</v>
      </c>
      <c r="E70" s="5" t="s">
        <v>292</v>
      </c>
    </row>
    <row r="71" spans="1:5" ht="16" x14ac:dyDescent="0.2">
      <c r="A71" s="2" t="s">
        <v>166</v>
      </c>
      <c r="B71" s="3" t="s">
        <v>131</v>
      </c>
      <c r="C71" s="4">
        <v>1346</v>
      </c>
      <c r="D71" s="4">
        <v>638815</v>
      </c>
      <c r="E71" s="5" t="s">
        <v>281</v>
      </c>
    </row>
    <row r="72" spans="1:5" ht="16" x14ac:dyDescent="0.2">
      <c r="A72" s="2" t="s">
        <v>167</v>
      </c>
      <c r="B72" s="3" t="s">
        <v>184</v>
      </c>
      <c r="C72" s="4">
        <v>1319</v>
      </c>
      <c r="D72" s="4">
        <v>633531</v>
      </c>
      <c r="E72" s="5" t="s">
        <v>281</v>
      </c>
    </row>
    <row r="73" spans="1:5" ht="16" x14ac:dyDescent="0.2">
      <c r="A73" s="2" t="s">
        <v>173</v>
      </c>
      <c r="B73" s="3" t="s">
        <v>196</v>
      </c>
      <c r="C73" s="4">
        <v>1492</v>
      </c>
      <c r="D73" s="4">
        <v>633447</v>
      </c>
      <c r="E73" s="5" t="s">
        <v>281</v>
      </c>
    </row>
    <row r="74" spans="1:5" ht="16" x14ac:dyDescent="0.2">
      <c r="A74" s="2" t="s">
        <v>174</v>
      </c>
      <c r="B74" s="3" t="s">
        <v>124</v>
      </c>
      <c r="C74" s="4">
        <v>1388</v>
      </c>
      <c r="D74" s="4">
        <v>626735.5</v>
      </c>
      <c r="E74" s="5" t="s">
        <v>389</v>
      </c>
    </row>
    <row r="75" spans="1:5" ht="16" x14ac:dyDescent="0.2">
      <c r="A75" s="2" t="s">
        <v>175</v>
      </c>
      <c r="B75" s="3" t="s">
        <v>190</v>
      </c>
      <c r="C75" s="4">
        <v>1172</v>
      </c>
      <c r="D75" s="4">
        <v>612677.5</v>
      </c>
      <c r="E75" s="5" t="s">
        <v>389</v>
      </c>
    </row>
    <row r="76" spans="1:5" ht="16" x14ac:dyDescent="0.2">
      <c r="A76" s="2" t="s">
        <v>177</v>
      </c>
      <c r="B76" s="3" t="s">
        <v>128</v>
      </c>
      <c r="C76" s="4">
        <v>1315</v>
      </c>
      <c r="D76" s="4">
        <v>610704.5</v>
      </c>
      <c r="E76" s="5" t="s">
        <v>374</v>
      </c>
    </row>
    <row r="77" spans="1:5" ht="16" x14ac:dyDescent="0.2">
      <c r="A77" s="2" t="s">
        <v>178</v>
      </c>
      <c r="B77" s="3" t="s">
        <v>126</v>
      </c>
      <c r="C77" s="4">
        <v>1169</v>
      </c>
      <c r="D77" s="4">
        <v>605028</v>
      </c>
      <c r="E77" s="5" t="s">
        <v>374</v>
      </c>
    </row>
    <row r="78" spans="1:5" ht="16" x14ac:dyDescent="0.2">
      <c r="A78" s="2" t="s">
        <v>185</v>
      </c>
      <c r="B78" s="3" t="s">
        <v>165</v>
      </c>
      <c r="C78" s="4">
        <v>1183</v>
      </c>
      <c r="D78" s="4">
        <v>575938</v>
      </c>
      <c r="E78" s="5" t="s">
        <v>278</v>
      </c>
    </row>
    <row r="79" spans="1:5" ht="16" x14ac:dyDescent="0.2">
      <c r="A79" s="2" t="s">
        <v>186</v>
      </c>
      <c r="B79" s="3" t="s">
        <v>152</v>
      </c>
      <c r="C79" s="4">
        <v>1151</v>
      </c>
      <c r="D79" s="4">
        <v>565481</v>
      </c>
      <c r="E79" s="5" t="s">
        <v>278</v>
      </c>
    </row>
    <row r="80" spans="1:5" ht="16" x14ac:dyDescent="0.2">
      <c r="A80" s="2" t="s">
        <v>201</v>
      </c>
      <c r="B80" s="3" t="s">
        <v>279</v>
      </c>
      <c r="C80" s="4">
        <v>1058</v>
      </c>
      <c r="D80" s="4">
        <v>501685.01</v>
      </c>
      <c r="E80" s="5" t="s">
        <v>352</v>
      </c>
    </row>
    <row r="81" spans="1:5" ht="16" x14ac:dyDescent="0.2">
      <c r="A81" s="2" t="s">
        <v>202</v>
      </c>
      <c r="B81" s="3" t="s">
        <v>232</v>
      </c>
      <c r="C81" s="4">
        <v>966</v>
      </c>
      <c r="D81" s="4">
        <v>476470.41</v>
      </c>
      <c r="E81" s="5" t="s">
        <v>379</v>
      </c>
    </row>
    <row r="82" spans="1:5" ht="16" x14ac:dyDescent="0.2">
      <c r="A82" s="2" t="s">
        <v>203</v>
      </c>
      <c r="B82" s="3" t="s">
        <v>37</v>
      </c>
      <c r="C82" s="4">
        <v>1325</v>
      </c>
      <c r="D82" s="4">
        <v>455833.5</v>
      </c>
      <c r="E82" s="5" t="s">
        <v>399</v>
      </c>
    </row>
    <row r="83" spans="1:5" ht="16" x14ac:dyDescent="0.2">
      <c r="A83" s="2" t="s">
        <v>204</v>
      </c>
      <c r="B83" s="3" t="s">
        <v>226</v>
      </c>
      <c r="C83" s="4">
        <v>918</v>
      </c>
      <c r="D83" s="4">
        <v>441538.31</v>
      </c>
      <c r="E83" s="5" t="s">
        <v>399</v>
      </c>
    </row>
    <row r="84" spans="1:5" ht="16" x14ac:dyDescent="0.2">
      <c r="A84" s="2" t="s">
        <v>205</v>
      </c>
      <c r="B84" s="3" t="s">
        <v>198</v>
      </c>
      <c r="C84" s="4">
        <v>870</v>
      </c>
      <c r="D84" s="4">
        <v>396760.54</v>
      </c>
      <c r="E84" s="5" t="s">
        <v>304</v>
      </c>
    </row>
    <row r="85" spans="1:5" ht="16" x14ac:dyDescent="0.2">
      <c r="A85" s="2" t="s">
        <v>212</v>
      </c>
      <c r="B85" s="3" t="s">
        <v>229</v>
      </c>
      <c r="C85" s="4">
        <v>840</v>
      </c>
      <c r="D85" s="4">
        <v>389272</v>
      </c>
      <c r="E85" s="5" t="s">
        <v>304</v>
      </c>
    </row>
    <row r="86" spans="1:5" ht="16" x14ac:dyDescent="0.2">
      <c r="A86" s="2" t="s">
        <v>217</v>
      </c>
      <c r="B86" s="3" t="s">
        <v>241</v>
      </c>
      <c r="C86" s="4">
        <v>742</v>
      </c>
      <c r="D86" s="4">
        <v>384029.5</v>
      </c>
      <c r="E86" s="5" t="s">
        <v>273</v>
      </c>
    </row>
    <row r="87" spans="1:5" ht="16" x14ac:dyDescent="0.2">
      <c r="A87" s="2" t="s">
        <v>218</v>
      </c>
      <c r="B87" s="3" t="s">
        <v>36</v>
      </c>
      <c r="C87" s="4">
        <v>1019</v>
      </c>
      <c r="D87" s="4">
        <v>344049</v>
      </c>
      <c r="E87" s="5" t="s">
        <v>385</v>
      </c>
    </row>
    <row r="88" spans="1:5" ht="16" x14ac:dyDescent="0.2">
      <c r="A88" s="2" t="s">
        <v>219</v>
      </c>
      <c r="B88" s="3" t="s">
        <v>293</v>
      </c>
      <c r="C88" s="4">
        <v>811</v>
      </c>
      <c r="D88" s="4">
        <v>311974</v>
      </c>
      <c r="E88" s="5" t="s">
        <v>305</v>
      </c>
    </row>
    <row r="89" spans="1:5" ht="16" x14ac:dyDescent="0.2">
      <c r="A89" s="2" t="s">
        <v>233</v>
      </c>
      <c r="B89" s="3" t="s">
        <v>294</v>
      </c>
      <c r="C89" s="4">
        <v>803</v>
      </c>
      <c r="D89" s="4">
        <v>284638</v>
      </c>
      <c r="E89" s="5" t="s">
        <v>368</v>
      </c>
    </row>
    <row r="90" spans="1:5" ht="16" x14ac:dyDescent="0.2">
      <c r="A90" s="2" t="s">
        <v>234</v>
      </c>
      <c r="B90" s="3" t="s">
        <v>353</v>
      </c>
      <c r="C90" s="4">
        <v>603</v>
      </c>
      <c r="D90" s="4">
        <v>216806</v>
      </c>
      <c r="E90" s="5" t="s">
        <v>314</v>
      </c>
    </row>
    <row r="91" spans="1:5" ht="16" x14ac:dyDescent="0.2">
      <c r="A91" s="2" t="s">
        <v>235</v>
      </c>
      <c r="B91" s="3" t="s">
        <v>6</v>
      </c>
      <c r="C91" s="4">
        <v>538</v>
      </c>
      <c r="D91" s="4">
        <v>208440</v>
      </c>
      <c r="E91" s="5" t="s">
        <v>302</v>
      </c>
    </row>
    <row r="92" spans="1:5" ht="16" x14ac:dyDescent="0.2">
      <c r="A92" s="2" t="s">
        <v>236</v>
      </c>
      <c r="B92" s="3" t="s">
        <v>7</v>
      </c>
      <c r="C92" s="4">
        <v>522</v>
      </c>
      <c r="D92" s="4">
        <v>188030</v>
      </c>
      <c r="E92" s="5" t="s">
        <v>285</v>
      </c>
    </row>
    <row r="93" spans="1:5" ht="16" x14ac:dyDescent="0.2">
      <c r="A93" s="2" t="s">
        <v>237</v>
      </c>
      <c r="B93" s="3" t="s">
        <v>276</v>
      </c>
      <c r="C93" s="4">
        <v>456</v>
      </c>
      <c r="D93" s="4">
        <v>171202</v>
      </c>
      <c r="E93" s="5" t="s">
        <v>383</v>
      </c>
    </row>
    <row r="94" spans="1:5" ht="16" x14ac:dyDescent="0.2">
      <c r="A94" s="2" t="s">
        <v>243</v>
      </c>
      <c r="B94" s="3" t="s">
        <v>342</v>
      </c>
      <c r="C94" s="4">
        <v>409</v>
      </c>
      <c r="D94" s="4">
        <v>118188</v>
      </c>
      <c r="E94" s="5" t="s">
        <v>380</v>
      </c>
    </row>
    <row r="95" spans="1:5" ht="16" x14ac:dyDescent="0.2">
      <c r="A95" s="2" t="s">
        <v>244</v>
      </c>
      <c r="B95" s="3" t="s">
        <v>238</v>
      </c>
      <c r="C95" s="4">
        <v>350</v>
      </c>
      <c r="D95" s="4">
        <v>113390</v>
      </c>
      <c r="E95" s="5" t="s">
        <v>380</v>
      </c>
    </row>
    <row r="96" spans="1:5" ht="16" x14ac:dyDescent="0.2">
      <c r="A96" s="2" t="s">
        <v>254</v>
      </c>
      <c r="B96" s="3" t="s">
        <v>271</v>
      </c>
      <c r="C96" s="4">
        <v>125</v>
      </c>
      <c r="D96" s="4">
        <v>64860</v>
      </c>
      <c r="E96" s="5" t="s">
        <v>370</v>
      </c>
    </row>
    <row r="97" spans="1:5" ht="16" x14ac:dyDescent="0.2">
      <c r="A97" s="2" t="s">
        <v>255</v>
      </c>
      <c r="B97" s="3" t="s">
        <v>315</v>
      </c>
      <c r="C97" s="4">
        <v>149</v>
      </c>
      <c r="D97" s="4">
        <v>48832</v>
      </c>
      <c r="E97" s="5" t="s">
        <v>306</v>
      </c>
    </row>
    <row r="98" spans="1:5" ht="16" x14ac:dyDescent="0.2">
      <c r="A98" s="2" t="s">
        <v>256</v>
      </c>
      <c r="B98" s="3" t="s">
        <v>341</v>
      </c>
      <c r="C98" s="4">
        <v>68</v>
      </c>
      <c r="D98" s="4">
        <v>40710</v>
      </c>
      <c r="E98" s="5" t="s">
        <v>357</v>
      </c>
    </row>
    <row r="99" spans="1:5" ht="16" x14ac:dyDescent="0.2">
      <c r="A99" s="2" t="s">
        <v>257</v>
      </c>
      <c r="B99" s="3" t="s">
        <v>253</v>
      </c>
      <c r="C99" s="4">
        <v>2</v>
      </c>
      <c r="D99" s="4">
        <v>23960</v>
      </c>
      <c r="E99" s="5" t="s">
        <v>286</v>
      </c>
    </row>
    <row r="100" spans="1:5" ht="16" x14ac:dyDescent="0.2">
      <c r="A100" s="2" t="s">
        <v>258</v>
      </c>
      <c r="B100" s="3" t="s">
        <v>220</v>
      </c>
      <c r="C100" s="4">
        <v>75</v>
      </c>
      <c r="D100" s="4">
        <v>16194</v>
      </c>
      <c r="E100" s="5" t="s">
        <v>286</v>
      </c>
    </row>
    <row r="101" spans="1:5" ht="16" x14ac:dyDescent="0.2">
      <c r="A101" s="2" t="s">
        <v>270</v>
      </c>
      <c r="B101" s="3" t="s">
        <v>272</v>
      </c>
      <c r="C101" s="4">
        <v>28</v>
      </c>
      <c r="D101" s="4">
        <v>13310</v>
      </c>
      <c r="E101" s="5" t="s">
        <v>286</v>
      </c>
    </row>
    <row r="102" spans="1:5" ht="16" x14ac:dyDescent="0.2">
      <c r="A102" s="2" t="s">
        <v>335</v>
      </c>
      <c r="B102" s="3" t="s">
        <v>249</v>
      </c>
      <c r="C102" s="4">
        <v>32</v>
      </c>
      <c r="D102" s="4">
        <v>10333</v>
      </c>
      <c r="E102" s="5" t="s">
        <v>286</v>
      </c>
    </row>
    <row r="103" spans="1:5" ht="16" x14ac:dyDescent="0.2">
      <c r="A103" s="2" t="s">
        <v>343</v>
      </c>
      <c r="B103" s="3" t="s">
        <v>313</v>
      </c>
      <c r="C103" s="4">
        <v>31</v>
      </c>
      <c r="D103" s="4">
        <v>8500</v>
      </c>
      <c r="E103" s="5" t="s">
        <v>181</v>
      </c>
    </row>
    <row r="104" spans="1:5" ht="16" x14ac:dyDescent="0.2">
      <c r="A104" s="2" t="s">
        <v>344</v>
      </c>
      <c r="B104" s="3" t="s">
        <v>295</v>
      </c>
      <c r="C104" s="4">
        <v>7</v>
      </c>
      <c r="D104" s="4">
        <v>4184</v>
      </c>
      <c r="E104" s="5" t="s">
        <v>181</v>
      </c>
    </row>
    <row r="105" spans="1:5" ht="16" x14ac:dyDescent="0.2">
      <c r="A105" s="2" t="s">
        <v>354</v>
      </c>
      <c r="B105" s="3" t="s">
        <v>277</v>
      </c>
      <c r="C105" s="4">
        <v>0</v>
      </c>
      <c r="D105" s="4">
        <v>0</v>
      </c>
      <c r="E105" s="5" t="s">
        <v>181</v>
      </c>
    </row>
    <row r="106" spans="1:5" ht="16" x14ac:dyDescent="0.2">
      <c r="A106" s="2" t="s">
        <v>365</v>
      </c>
      <c r="B106" s="3" t="s">
        <v>334</v>
      </c>
      <c r="C106" s="4">
        <v>0</v>
      </c>
      <c r="D106" s="4">
        <v>0</v>
      </c>
      <c r="E106" s="5" t="s">
        <v>181</v>
      </c>
    </row>
    <row r="107" spans="1:5" ht="16" x14ac:dyDescent="0.2">
      <c r="A107" s="2" t="s">
        <v>376</v>
      </c>
      <c r="B107" s="3" t="s">
        <v>349</v>
      </c>
      <c r="C107" s="4">
        <v>0</v>
      </c>
      <c r="D107" s="4">
        <v>0</v>
      </c>
      <c r="E107" s="5" t="s">
        <v>181</v>
      </c>
    </row>
    <row r="108" spans="1:5" ht="16" x14ac:dyDescent="0.2">
      <c r="A108" s="2" t="s">
        <v>378</v>
      </c>
      <c r="B108" s="3" t="s">
        <v>221</v>
      </c>
      <c r="C108" s="4">
        <v>-46</v>
      </c>
      <c r="D108" s="4">
        <v>-6120</v>
      </c>
      <c r="E108" s="5" t="s">
        <v>222</v>
      </c>
    </row>
    <row r="109" spans="1:5" ht="16" x14ac:dyDescent="0.2">
      <c r="A109" s="2" t="s">
        <v>400</v>
      </c>
      <c r="B109" s="3" t="s">
        <v>182</v>
      </c>
      <c r="C109" s="4">
        <v>-4789</v>
      </c>
      <c r="D109" s="4">
        <v>-1546723.8499999989</v>
      </c>
      <c r="E109" s="5" t="s">
        <v>401</v>
      </c>
    </row>
    <row r="111" spans="1:5" ht="16" x14ac:dyDescent="0.2">
      <c r="B111" s="2" t="s">
        <v>139</v>
      </c>
      <c r="C111" s="6" t="s">
        <v>140</v>
      </c>
    </row>
    <row r="112" spans="1:5" ht="16" x14ac:dyDescent="0.2">
      <c r="B112" s="2" t="s">
        <v>141</v>
      </c>
      <c r="C112" s="6" t="s">
        <v>402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BA9B3-849E-6F44-A759-705AF9B84B2F}">
  <sheetPr codeName="Sheet4">
    <tabColor theme="1"/>
  </sheetPr>
  <dimension ref="A1:I113"/>
  <sheetViews>
    <sheetView workbookViewId="0">
      <pane ySplit="2" topLeftCell="A3" activePane="bottomLeft" state="frozen"/>
      <selection pane="bottomLeft" activeCell="F4" sqref="F4:F21"/>
    </sheetView>
  </sheetViews>
  <sheetFormatPr baseColWidth="10" defaultColWidth="7.5703125" defaultRowHeight="15" x14ac:dyDescent="0.15"/>
  <cols>
    <col min="1" max="5" width="17.140625" customWidth="1" collapsed="1"/>
    <col min="6" max="6" width="29.42578125" bestFit="1" customWidth="1"/>
    <col min="8" max="9" width="15.140625" customWidth="1"/>
  </cols>
  <sheetData>
    <row r="1" spans="1:9" ht="16" x14ac:dyDescent="0.2">
      <c r="A1" s="7" t="s">
        <v>430</v>
      </c>
    </row>
    <row r="2" spans="1:9" ht="16" x14ac:dyDescent="0.2">
      <c r="A2" s="1" t="s">
        <v>43</v>
      </c>
      <c r="B2" s="1" t="s">
        <v>44</v>
      </c>
      <c r="C2" s="1" t="s">
        <v>45</v>
      </c>
      <c r="D2" s="1" t="s">
        <v>46</v>
      </c>
      <c r="E2" s="1" t="s">
        <v>47</v>
      </c>
    </row>
    <row r="3" spans="1:9" ht="16" x14ac:dyDescent="0.2">
      <c r="A3" s="2" t="s">
        <v>154</v>
      </c>
      <c r="B3" s="3" t="s">
        <v>155</v>
      </c>
      <c r="C3" s="4">
        <v>315164</v>
      </c>
      <c r="D3" s="4">
        <v>109687975.00999828</v>
      </c>
      <c r="E3" s="5" t="s">
        <v>431</v>
      </c>
      <c r="H3" s="168" t="s">
        <v>437</v>
      </c>
      <c r="I3" s="168" t="s">
        <v>438</v>
      </c>
    </row>
    <row r="4" spans="1:9" ht="16" x14ac:dyDescent="0.2">
      <c r="A4" s="2" t="s">
        <v>48</v>
      </c>
      <c r="B4" s="3" t="s">
        <v>65</v>
      </c>
      <c r="C4" s="4">
        <v>6977</v>
      </c>
      <c r="D4" s="4">
        <v>2491449</v>
      </c>
      <c r="E4" s="5" t="s">
        <v>381</v>
      </c>
      <c r="F4" s="169" t="s">
        <v>77</v>
      </c>
      <c r="G4" s="107" cm="1">
        <f t="array" ref="G4:H4">_xlfn.XLOOKUP(F4,B:B,C:D,0,0)</f>
        <v>2826</v>
      </c>
      <c r="H4" s="107">
        <v>1468983.18</v>
      </c>
      <c r="I4" s="107">
        <f>H4*100/107</f>
        <v>1372881.4766355141</v>
      </c>
    </row>
    <row r="5" spans="1:9" ht="16" x14ac:dyDescent="0.2">
      <c r="A5" s="2" t="s">
        <v>50</v>
      </c>
      <c r="B5" s="3" t="s">
        <v>74</v>
      </c>
      <c r="C5" s="4">
        <v>4755</v>
      </c>
      <c r="D5" s="4">
        <v>2472380.5699999998</v>
      </c>
      <c r="E5" s="5" t="s">
        <v>426</v>
      </c>
      <c r="F5" s="169" t="s">
        <v>102</v>
      </c>
      <c r="G5" s="107" cm="1">
        <f t="array" ref="G5:H5">_xlfn.XLOOKUP(F5,B:B,C:D,0,0)</f>
        <v>1973</v>
      </c>
      <c r="H5" s="107">
        <v>1077583</v>
      </c>
      <c r="I5" s="107">
        <f t="shared" ref="I5:I21" si="0">H5*100/107</f>
        <v>1007086.9158878505</v>
      </c>
    </row>
    <row r="6" spans="1:9" ht="16" x14ac:dyDescent="0.2">
      <c r="A6" s="2" t="s">
        <v>52</v>
      </c>
      <c r="B6" s="3" t="s">
        <v>49</v>
      </c>
      <c r="C6" s="4">
        <v>4688</v>
      </c>
      <c r="D6" s="4">
        <v>2377971</v>
      </c>
      <c r="E6" s="5" t="s">
        <v>432</v>
      </c>
      <c r="F6" s="169" t="s">
        <v>187</v>
      </c>
      <c r="G6" s="107" cm="1">
        <f t="array" ref="G6:H6">_xlfn.XLOOKUP(F6,B:B,C:D,0,0)</f>
        <v>3307</v>
      </c>
      <c r="H6" s="107">
        <v>1412663.3</v>
      </c>
      <c r="I6" s="107">
        <f t="shared" si="0"/>
        <v>1320246.0747663551</v>
      </c>
    </row>
    <row r="7" spans="1:9" ht="16" x14ac:dyDescent="0.2">
      <c r="A7" s="2" t="s">
        <v>54</v>
      </c>
      <c r="B7" s="3" t="s">
        <v>53</v>
      </c>
      <c r="C7" s="4">
        <v>4722</v>
      </c>
      <c r="D7" s="4">
        <v>2376889</v>
      </c>
      <c r="E7" s="5" t="s">
        <v>432</v>
      </c>
      <c r="F7" s="169" t="s">
        <v>108</v>
      </c>
      <c r="G7" s="107" cm="1">
        <f t="array" ref="G7:H7">_xlfn.XLOOKUP(F7,B:B,C:D,0,0)</f>
        <v>2032</v>
      </c>
      <c r="H7" s="107">
        <v>1002951.5</v>
      </c>
      <c r="I7" s="107">
        <f t="shared" si="0"/>
        <v>937337.85046728968</v>
      </c>
    </row>
    <row r="8" spans="1:9" ht="16" x14ac:dyDescent="0.2">
      <c r="A8" s="2" t="s">
        <v>55</v>
      </c>
      <c r="B8" s="3" t="s">
        <v>56</v>
      </c>
      <c r="C8" s="4">
        <v>4122</v>
      </c>
      <c r="D8" s="4">
        <v>2221407.5</v>
      </c>
      <c r="E8" s="5" t="s">
        <v>366</v>
      </c>
      <c r="F8" s="169" t="s">
        <v>1</v>
      </c>
      <c r="G8" s="107" cm="1">
        <f t="array" ref="G8:H8">_xlfn.XLOOKUP(F8,B:B,C:D,0,0)</f>
        <v>2049</v>
      </c>
      <c r="H8" s="107">
        <v>1085005</v>
      </c>
      <c r="I8" s="107">
        <f t="shared" si="0"/>
        <v>1014023.3644859813</v>
      </c>
    </row>
    <row r="9" spans="1:9" ht="16" x14ac:dyDescent="0.2">
      <c r="A9" s="2" t="s">
        <v>57</v>
      </c>
      <c r="B9" s="3" t="s">
        <v>2</v>
      </c>
      <c r="C9" s="4">
        <v>4109</v>
      </c>
      <c r="D9" s="4">
        <v>2210836</v>
      </c>
      <c r="E9" s="5" t="s">
        <v>366</v>
      </c>
      <c r="F9" s="169" t="s">
        <v>165</v>
      </c>
      <c r="G9" s="107" cm="1">
        <f t="array" ref="G9:H9">_xlfn.XLOOKUP(F9,B:B,C:D,0,0)</f>
        <v>1321</v>
      </c>
      <c r="H9" s="107">
        <v>671624.5</v>
      </c>
      <c r="I9" s="107">
        <f t="shared" si="0"/>
        <v>627686.44859813084</v>
      </c>
    </row>
    <row r="10" spans="1:9" ht="16" x14ac:dyDescent="0.2">
      <c r="A10" s="2" t="s">
        <v>156</v>
      </c>
      <c r="B10" s="3" t="s">
        <v>58</v>
      </c>
      <c r="C10" s="4">
        <v>4157</v>
      </c>
      <c r="D10" s="4">
        <v>1998364.07</v>
      </c>
      <c r="E10" s="5" t="s">
        <v>384</v>
      </c>
      <c r="F10" s="169" t="s">
        <v>128</v>
      </c>
      <c r="G10" s="107" cm="1">
        <f t="array" ref="G10:H10">_xlfn.XLOOKUP(F10,B:B,C:D,0,0)</f>
        <v>1519</v>
      </c>
      <c r="H10" s="107">
        <v>708646</v>
      </c>
      <c r="I10" s="107">
        <f t="shared" si="0"/>
        <v>662285.98130841122</v>
      </c>
    </row>
    <row r="11" spans="1:9" ht="16" x14ac:dyDescent="0.2">
      <c r="A11" s="2" t="s">
        <v>60</v>
      </c>
      <c r="B11" s="3" t="s">
        <v>142</v>
      </c>
      <c r="C11" s="4">
        <v>3994</v>
      </c>
      <c r="D11" s="4">
        <v>1992360.5</v>
      </c>
      <c r="E11" s="5" t="s">
        <v>384</v>
      </c>
      <c r="G11" s="107" cm="1">
        <f t="array" ref="G11:H11">_xlfn.XLOOKUP(F11,B:B,C:D,0,0)</f>
        <v>0</v>
      </c>
      <c r="H11" s="107">
        <v>0</v>
      </c>
      <c r="I11" s="107">
        <f t="shared" si="0"/>
        <v>0</v>
      </c>
    </row>
    <row r="12" spans="1:9" ht="16" x14ac:dyDescent="0.2">
      <c r="A12" s="2" t="s">
        <v>62</v>
      </c>
      <c r="B12" s="3" t="s">
        <v>81</v>
      </c>
      <c r="C12" s="4">
        <v>4166</v>
      </c>
      <c r="D12" s="4">
        <v>1886188</v>
      </c>
      <c r="E12" s="5" t="s">
        <v>397</v>
      </c>
      <c r="F12" s="169" t="s">
        <v>211</v>
      </c>
      <c r="G12" s="107" cm="1">
        <f t="array" ref="G12:H12">_xlfn.XLOOKUP(F12,B:B,C:D,0,0)</f>
        <v>2387</v>
      </c>
      <c r="H12" s="107">
        <v>1075263</v>
      </c>
      <c r="I12" s="107">
        <f t="shared" si="0"/>
        <v>1004918.691588785</v>
      </c>
    </row>
    <row r="13" spans="1:9" ht="16" x14ac:dyDescent="0.2">
      <c r="A13" s="2" t="s">
        <v>146</v>
      </c>
      <c r="B13" s="3" t="s">
        <v>84</v>
      </c>
      <c r="C13" s="4">
        <v>3575</v>
      </c>
      <c r="D13" s="4">
        <v>1870099.21</v>
      </c>
      <c r="E13" s="5" t="s">
        <v>398</v>
      </c>
      <c r="F13" s="169" t="s">
        <v>51</v>
      </c>
      <c r="G13" s="107" cm="1">
        <f t="array" ref="G13:H13">_xlfn.XLOOKUP(F13,B:B,C:D,0,0)</f>
        <v>1560</v>
      </c>
      <c r="H13" s="107">
        <v>859124</v>
      </c>
      <c r="I13" s="107">
        <f t="shared" si="0"/>
        <v>802919.62616822426</v>
      </c>
    </row>
    <row r="14" spans="1:9" ht="16" x14ac:dyDescent="0.2">
      <c r="A14" s="2" t="s">
        <v>64</v>
      </c>
      <c r="B14" s="3" t="s">
        <v>63</v>
      </c>
      <c r="C14" s="4">
        <v>3920</v>
      </c>
      <c r="D14" s="4">
        <v>1866536</v>
      </c>
      <c r="E14" s="5" t="s">
        <v>398</v>
      </c>
      <c r="F14" s="169" t="s">
        <v>239</v>
      </c>
      <c r="G14" s="107" cm="1">
        <f t="array" ref="G14:H14">_xlfn.XLOOKUP(F14,B:B,C:D,0,0)</f>
        <v>1700</v>
      </c>
      <c r="H14" s="107">
        <v>956875.38</v>
      </c>
      <c r="I14" s="107">
        <f t="shared" si="0"/>
        <v>894276.05607476633</v>
      </c>
    </row>
    <row r="15" spans="1:9" ht="16" x14ac:dyDescent="0.2">
      <c r="A15" s="2" t="s">
        <v>66</v>
      </c>
      <c r="B15" s="3" t="s">
        <v>71</v>
      </c>
      <c r="C15" s="4">
        <v>3754</v>
      </c>
      <c r="D15" s="4">
        <v>1780665.48</v>
      </c>
      <c r="E15" s="5" t="s">
        <v>310</v>
      </c>
      <c r="F15" s="169" t="s">
        <v>49</v>
      </c>
      <c r="G15" s="107" cm="1">
        <f t="array" ref="G15:H15">_xlfn.XLOOKUP(F15,B:B,C:D,0,0)</f>
        <v>4688</v>
      </c>
      <c r="H15" s="107">
        <v>2377971</v>
      </c>
      <c r="I15" s="107">
        <f t="shared" si="0"/>
        <v>2222402.8037383179</v>
      </c>
    </row>
    <row r="16" spans="1:9" ht="16" x14ac:dyDescent="0.2">
      <c r="A16" s="2" t="s">
        <v>68</v>
      </c>
      <c r="B16" s="3" t="s">
        <v>231</v>
      </c>
      <c r="C16" s="4">
        <v>3322</v>
      </c>
      <c r="D16" s="4">
        <v>1765623</v>
      </c>
      <c r="E16" s="5" t="s">
        <v>388</v>
      </c>
      <c r="F16" s="169" t="s">
        <v>81</v>
      </c>
      <c r="G16" s="107" cm="1">
        <f t="array" ref="G16:H16">_xlfn.XLOOKUP(F16,B:B,C:D,0,0)</f>
        <v>4166</v>
      </c>
      <c r="H16" s="107">
        <v>1886188</v>
      </c>
      <c r="I16" s="107">
        <f t="shared" si="0"/>
        <v>1762792.5233644859</v>
      </c>
    </row>
    <row r="17" spans="1:9" ht="16" x14ac:dyDescent="0.2">
      <c r="A17" s="2" t="s">
        <v>147</v>
      </c>
      <c r="B17" s="3" t="s">
        <v>4</v>
      </c>
      <c r="C17" s="4">
        <v>3584</v>
      </c>
      <c r="D17" s="4">
        <v>1760738.5</v>
      </c>
      <c r="E17" s="5" t="s">
        <v>388</v>
      </c>
      <c r="F17" s="169" t="s">
        <v>38</v>
      </c>
      <c r="G17" s="107" cm="1">
        <f t="array" ref="G17:H17">_xlfn.XLOOKUP(F17,B:B,C:D,0,0)</f>
        <v>938</v>
      </c>
      <c r="H17" s="107">
        <v>432844</v>
      </c>
      <c r="I17" s="107">
        <f t="shared" si="0"/>
        <v>404527.10280373832</v>
      </c>
    </row>
    <row r="18" spans="1:9" ht="16" x14ac:dyDescent="0.2">
      <c r="A18" s="2" t="s">
        <v>70</v>
      </c>
      <c r="B18" s="3" t="s">
        <v>67</v>
      </c>
      <c r="C18" s="4">
        <v>3108</v>
      </c>
      <c r="D18" s="4">
        <v>1578694.25</v>
      </c>
      <c r="E18" s="5" t="s">
        <v>297</v>
      </c>
      <c r="F18" s="169" t="s">
        <v>241</v>
      </c>
      <c r="G18" s="107" cm="1">
        <f t="array" ref="G18:H18">_xlfn.XLOOKUP(F18,B:B,C:D,0,0)</f>
        <v>764</v>
      </c>
      <c r="H18" s="107">
        <v>375125</v>
      </c>
      <c r="I18" s="107">
        <f t="shared" si="0"/>
        <v>350584.11214953271</v>
      </c>
    </row>
    <row r="19" spans="1:9" ht="16" x14ac:dyDescent="0.2">
      <c r="A19" s="2" t="s">
        <v>72</v>
      </c>
      <c r="B19" s="3" t="s">
        <v>61</v>
      </c>
      <c r="C19" s="4">
        <v>3107</v>
      </c>
      <c r="D19" s="4">
        <v>1532262.51</v>
      </c>
      <c r="E19" s="5" t="s">
        <v>363</v>
      </c>
      <c r="F19" s="169" t="s">
        <v>198</v>
      </c>
      <c r="G19" s="107" cm="1">
        <f t="array" ref="G19:H19">_xlfn.XLOOKUP(F19,B:B,C:D,0,0)</f>
        <v>741</v>
      </c>
      <c r="H19" s="107">
        <v>323459</v>
      </c>
      <c r="I19" s="107">
        <f t="shared" si="0"/>
        <v>302298.13084112148</v>
      </c>
    </row>
    <row r="20" spans="1:9" ht="16" x14ac:dyDescent="0.2">
      <c r="A20" s="2" t="s">
        <v>157</v>
      </c>
      <c r="B20" s="3" t="s">
        <v>144</v>
      </c>
      <c r="C20" s="4">
        <v>3173</v>
      </c>
      <c r="D20" s="4">
        <v>1483970.5</v>
      </c>
      <c r="E20" s="5" t="s">
        <v>307</v>
      </c>
      <c r="F20" s="169" t="s">
        <v>248</v>
      </c>
      <c r="G20" s="107" cm="1">
        <f t="array" ref="G20:H20">_xlfn.XLOOKUP(F20,B:B,C:D,0,0)</f>
        <v>1765</v>
      </c>
      <c r="H20" s="107">
        <v>817052</v>
      </c>
      <c r="I20" s="107">
        <f t="shared" si="0"/>
        <v>763600</v>
      </c>
    </row>
    <row r="21" spans="1:9" ht="16" x14ac:dyDescent="0.2">
      <c r="A21" s="2" t="s">
        <v>75</v>
      </c>
      <c r="B21" s="3" t="s">
        <v>77</v>
      </c>
      <c r="C21" s="4">
        <v>2826</v>
      </c>
      <c r="D21" s="4">
        <v>1468983.18</v>
      </c>
      <c r="E21" s="5" t="s">
        <v>307</v>
      </c>
      <c r="F21" s="169" t="s">
        <v>327</v>
      </c>
      <c r="G21" s="107" cm="1">
        <f t="array" ref="G21:H21">_xlfn.XLOOKUP(F21,B:B,C:D,0,0)</f>
        <v>1376</v>
      </c>
      <c r="H21" s="107">
        <v>682874.99999999988</v>
      </c>
      <c r="I21" s="107">
        <f t="shared" si="0"/>
        <v>638200.93457943911</v>
      </c>
    </row>
    <row r="22" spans="1:9" ht="16" x14ac:dyDescent="0.2">
      <c r="A22" s="2" t="s">
        <v>76</v>
      </c>
      <c r="B22" s="3" t="s">
        <v>172</v>
      </c>
      <c r="C22" s="4">
        <v>2788</v>
      </c>
      <c r="D22" s="4">
        <v>1445836</v>
      </c>
      <c r="E22" s="5" t="s">
        <v>283</v>
      </c>
    </row>
    <row r="23" spans="1:9" ht="16" x14ac:dyDescent="0.2">
      <c r="A23" s="2" t="s">
        <v>78</v>
      </c>
      <c r="B23" s="3" t="s">
        <v>88</v>
      </c>
      <c r="C23" s="4">
        <v>2739</v>
      </c>
      <c r="D23" s="4">
        <v>1429753</v>
      </c>
      <c r="E23" s="5" t="s">
        <v>283</v>
      </c>
    </row>
    <row r="24" spans="1:9" ht="16" x14ac:dyDescent="0.2">
      <c r="A24" s="2" t="s">
        <v>148</v>
      </c>
      <c r="B24" s="3" t="s">
        <v>187</v>
      </c>
      <c r="C24" s="4">
        <v>3307</v>
      </c>
      <c r="D24" s="4">
        <v>1412663.3</v>
      </c>
      <c r="E24" s="5" t="s">
        <v>250</v>
      </c>
    </row>
    <row r="25" spans="1:9" ht="16" x14ac:dyDescent="0.2">
      <c r="A25" s="2" t="s">
        <v>80</v>
      </c>
      <c r="B25" s="3" t="s">
        <v>79</v>
      </c>
      <c r="C25" s="4">
        <v>3211</v>
      </c>
      <c r="D25" s="4">
        <v>1393881.5</v>
      </c>
      <c r="E25" s="5" t="s">
        <v>268</v>
      </c>
    </row>
    <row r="26" spans="1:9" ht="16" x14ac:dyDescent="0.2">
      <c r="A26" s="2" t="s">
        <v>82</v>
      </c>
      <c r="B26" s="3" t="s">
        <v>100</v>
      </c>
      <c r="C26" s="4">
        <v>2773</v>
      </c>
      <c r="D26" s="4">
        <v>1383997</v>
      </c>
      <c r="E26" s="5" t="s">
        <v>290</v>
      </c>
    </row>
    <row r="27" spans="1:9" ht="16" x14ac:dyDescent="0.2">
      <c r="A27" s="2" t="s">
        <v>83</v>
      </c>
      <c r="B27" s="3" t="s">
        <v>266</v>
      </c>
      <c r="C27" s="4">
        <v>2545</v>
      </c>
      <c r="D27" s="4">
        <v>1359713</v>
      </c>
      <c r="E27" s="5" t="s">
        <v>336</v>
      </c>
    </row>
    <row r="28" spans="1:9" ht="16" x14ac:dyDescent="0.2">
      <c r="A28" s="2" t="s">
        <v>85</v>
      </c>
      <c r="B28" s="3" t="s">
        <v>3</v>
      </c>
      <c r="C28" s="4">
        <v>2551</v>
      </c>
      <c r="D28" s="4">
        <v>1330004.6000000001</v>
      </c>
      <c r="E28" s="5" t="s">
        <v>269</v>
      </c>
    </row>
    <row r="29" spans="1:9" ht="16" x14ac:dyDescent="0.2">
      <c r="A29" s="2" t="s">
        <v>87</v>
      </c>
      <c r="B29" s="3" t="s">
        <v>145</v>
      </c>
      <c r="C29" s="4">
        <v>2792</v>
      </c>
      <c r="D29" s="4">
        <v>1320254</v>
      </c>
      <c r="E29" s="5" t="s">
        <v>199</v>
      </c>
    </row>
    <row r="30" spans="1:9" ht="16" x14ac:dyDescent="0.2">
      <c r="A30" s="2" t="s">
        <v>89</v>
      </c>
      <c r="B30" s="3" t="s">
        <v>210</v>
      </c>
      <c r="C30" s="4">
        <v>2682</v>
      </c>
      <c r="D30" s="4">
        <v>1310467</v>
      </c>
      <c r="E30" s="5" t="s">
        <v>199</v>
      </c>
    </row>
    <row r="31" spans="1:9" ht="16" x14ac:dyDescent="0.2">
      <c r="A31" s="2" t="s">
        <v>90</v>
      </c>
      <c r="B31" s="3" t="s">
        <v>39</v>
      </c>
      <c r="C31" s="4">
        <v>2855</v>
      </c>
      <c r="D31" s="4">
        <v>1262456.5</v>
      </c>
      <c r="E31" s="5" t="s">
        <v>382</v>
      </c>
    </row>
    <row r="32" spans="1:9" ht="16" x14ac:dyDescent="0.2">
      <c r="A32" s="2" t="s">
        <v>92</v>
      </c>
      <c r="B32" s="3" t="s">
        <v>93</v>
      </c>
      <c r="C32" s="4">
        <v>2419</v>
      </c>
      <c r="D32" s="4">
        <v>1253645.5</v>
      </c>
      <c r="E32" s="5" t="s">
        <v>382</v>
      </c>
    </row>
    <row r="33" spans="1:5" ht="16" x14ac:dyDescent="0.2">
      <c r="A33" s="2" t="s">
        <v>94</v>
      </c>
      <c r="B33" s="3" t="s">
        <v>318</v>
      </c>
      <c r="C33" s="4">
        <v>3073</v>
      </c>
      <c r="D33" s="4">
        <v>1248129</v>
      </c>
      <c r="E33" s="5" t="s">
        <v>382</v>
      </c>
    </row>
    <row r="34" spans="1:5" ht="16" x14ac:dyDescent="0.2">
      <c r="A34" s="2" t="s">
        <v>96</v>
      </c>
      <c r="B34" s="3" t="s">
        <v>113</v>
      </c>
      <c r="C34" s="4">
        <v>2473</v>
      </c>
      <c r="D34" s="4">
        <v>1242720</v>
      </c>
      <c r="E34" s="5" t="s">
        <v>382</v>
      </c>
    </row>
    <row r="35" spans="1:5" ht="16" x14ac:dyDescent="0.2">
      <c r="A35" s="2" t="s">
        <v>159</v>
      </c>
      <c r="B35" s="3" t="s">
        <v>121</v>
      </c>
      <c r="C35" s="4">
        <v>2364</v>
      </c>
      <c r="D35" s="4">
        <v>1206277.2</v>
      </c>
      <c r="E35" s="5" t="s">
        <v>291</v>
      </c>
    </row>
    <row r="36" spans="1:5" ht="16" x14ac:dyDescent="0.2">
      <c r="A36" s="2" t="s">
        <v>98</v>
      </c>
      <c r="B36" s="3" t="s">
        <v>170</v>
      </c>
      <c r="C36" s="4">
        <v>2438</v>
      </c>
      <c r="D36" s="4">
        <v>1180593</v>
      </c>
      <c r="E36" s="5" t="s">
        <v>330</v>
      </c>
    </row>
    <row r="37" spans="1:5" ht="16" x14ac:dyDescent="0.2">
      <c r="A37" s="2" t="s">
        <v>160</v>
      </c>
      <c r="B37" s="3" t="s">
        <v>230</v>
      </c>
      <c r="C37" s="4">
        <v>2446</v>
      </c>
      <c r="D37" s="4">
        <v>1174180</v>
      </c>
      <c r="E37" s="5" t="s">
        <v>330</v>
      </c>
    </row>
    <row r="38" spans="1:5" ht="16" x14ac:dyDescent="0.2">
      <c r="A38" s="2" t="s">
        <v>101</v>
      </c>
      <c r="B38" s="3" t="s">
        <v>5</v>
      </c>
      <c r="C38" s="4">
        <v>2255</v>
      </c>
      <c r="D38" s="4">
        <v>1166268.5</v>
      </c>
      <c r="E38" s="5" t="s">
        <v>330</v>
      </c>
    </row>
    <row r="39" spans="1:5" ht="16" x14ac:dyDescent="0.2">
      <c r="A39" s="2" t="s">
        <v>103</v>
      </c>
      <c r="B39" s="3" t="s">
        <v>69</v>
      </c>
      <c r="C39" s="4">
        <v>2194</v>
      </c>
      <c r="D39" s="4">
        <v>1158120.6200000001</v>
      </c>
      <c r="E39" s="5" t="s">
        <v>309</v>
      </c>
    </row>
    <row r="40" spans="1:5" ht="16" x14ac:dyDescent="0.2">
      <c r="A40" s="2" t="s">
        <v>105</v>
      </c>
      <c r="B40" s="3" t="s">
        <v>91</v>
      </c>
      <c r="C40" s="4">
        <v>2251</v>
      </c>
      <c r="D40" s="4">
        <v>1088058</v>
      </c>
      <c r="E40" s="5" t="s">
        <v>338</v>
      </c>
    </row>
    <row r="41" spans="1:5" ht="16" x14ac:dyDescent="0.2">
      <c r="A41" s="2" t="s">
        <v>107</v>
      </c>
      <c r="B41" s="3" t="s">
        <v>1</v>
      </c>
      <c r="C41" s="4">
        <v>2049</v>
      </c>
      <c r="D41" s="4">
        <v>1085005</v>
      </c>
      <c r="E41" s="5" t="s">
        <v>338</v>
      </c>
    </row>
    <row r="42" spans="1:5" ht="16" x14ac:dyDescent="0.2">
      <c r="A42" s="2" t="s">
        <v>109</v>
      </c>
      <c r="B42" s="3" t="s">
        <v>102</v>
      </c>
      <c r="C42" s="4">
        <v>1973</v>
      </c>
      <c r="D42" s="4">
        <v>1077583</v>
      </c>
      <c r="E42" s="5" t="s">
        <v>361</v>
      </c>
    </row>
    <row r="43" spans="1:5" ht="16" x14ac:dyDescent="0.2">
      <c r="A43" s="2" t="s">
        <v>111</v>
      </c>
      <c r="B43" s="3" t="s">
        <v>211</v>
      </c>
      <c r="C43" s="4">
        <v>2387</v>
      </c>
      <c r="D43" s="4">
        <v>1075263</v>
      </c>
      <c r="E43" s="5" t="s">
        <v>361</v>
      </c>
    </row>
    <row r="44" spans="1:5" ht="16" x14ac:dyDescent="0.2">
      <c r="A44" s="2" t="s">
        <v>112</v>
      </c>
      <c r="B44" s="3" t="s">
        <v>110</v>
      </c>
      <c r="C44" s="4">
        <v>2169</v>
      </c>
      <c r="D44" s="4">
        <v>1052679.5</v>
      </c>
      <c r="E44" s="5" t="s">
        <v>406</v>
      </c>
    </row>
    <row r="45" spans="1:5" ht="16" x14ac:dyDescent="0.2">
      <c r="A45" s="2" t="s">
        <v>114</v>
      </c>
      <c r="B45" s="3" t="s">
        <v>188</v>
      </c>
      <c r="C45" s="4">
        <v>2568</v>
      </c>
      <c r="D45" s="4">
        <v>1035036</v>
      </c>
      <c r="E45" s="5" t="s">
        <v>284</v>
      </c>
    </row>
    <row r="46" spans="1:5" ht="16" x14ac:dyDescent="0.2">
      <c r="A46" s="2" t="s">
        <v>116</v>
      </c>
      <c r="B46" s="3" t="s">
        <v>158</v>
      </c>
      <c r="C46" s="4">
        <v>55</v>
      </c>
      <c r="D46" s="4">
        <v>1010120</v>
      </c>
      <c r="E46" s="5" t="s">
        <v>311</v>
      </c>
    </row>
    <row r="47" spans="1:5" ht="16" x14ac:dyDescent="0.2">
      <c r="A47" s="2" t="s">
        <v>149</v>
      </c>
      <c r="B47" s="3" t="s">
        <v>108</v>
      </c>
      <c r="C47" s="4">
        <v>2032</v>
      </c>
      <c r="D47" s="4">
        <v>1002951.5</v>
      </c>
      <c r="E47" s="5" t="s">
        <v>311</v>
      </c>
    </row>
    <row r="48" spans="1:5" ht="16" x14ac:dyDescent="0.2">
      <c r="A48" s="2" t="s">
        <v>117</v>
      </c>
      <c r="B48" s="3" t="s">
        <v>104</v>
      </c>
      <c r="C48" s="4">
        <v>2436</v>
      </c>
      <c r="D48" s="4">
        <v>995765</v>
      </c>
      <c r="E48" s="5" t="s">
        <v>280</v>
      </c>
    </row>
    <row r="49" spans="1:5" ht="16" x14ac:dyDescent="0.2">
      <c r="A49" s="2" t="s">
        <v>119</v>
      </c>
      <c r="B49" s="3" t="s">
        <v>95</v>
      </c>
      <c r="C49" s="4">
        <v>1942</v>
      </c>
      <c r="D49" s="4">
        <v>976009.5</v>
      </c>
      <c r="E49" s="5" t="s">
        <v>280</v>
      </c>
    </row>
    <row r="50" spans="1:5" ht="16" x14ac:dyDescent="0.2">
      <c r="A50" s="2" t="s">
        <v>120</v>
      </c>
      <c r="B50" s="3" t="s">
        <v>59</v>
      </c>
      <c r="C50" s="4">
        <v>2081</v>
      </c>
      <c r="D50" s="4">
        <v>974482</v>
      </c>
      <c r="E50" s="5" t="s">
        <v>252</v>
      </c>
    </row>
    <row r="51" spans="1:5" ht="16" x14ac:dyDescent="0.2">
      <c r="A51" s="2" t="s">
        <v>122</v>
      </c>
      <c r="B51" s="3" t="s">
        <v>239</v>
      </c>
      <c r="C51" s="4">
        <v>1700</v>
      </c>
      <c r="D51" s="4">
        <v>956875.38</v>
      </c>
      <c r="E51" s="5" t="s">
        <v>252</v>
      </c>
    </row>
    <row r="52" spans="1:5" ht="16" x14ac:dyDescent="0.2">
      <c r="A52" s="2" t="s">
        <v>123</v>
      </c>
      <c r="B52" s="3" t="s">
        <v>183</v>
      </c>
      <c r="C52" s="4">
        <v>5237</v>
      </c>
      <c r="D52" s="4">
        <v>950246.79999999923</v>
      </c>
      <c r="E52" s="5" t="s">
        <v>223</v>
      </c>
    </row>
    <row r="53" spans="1:5" ht="16" x14ac:dyDescent="0.2">
      <c r="A53" s="2" t="s">
        <v>125</v>
      </c>
      <c r="B53" s="3" t="s">
        <v>288</v>
      </c>
      <c r="C53" s="4">
        <v>1989</v>
      </c>
      <c r="D53" s="4">
        <v>934174</v>
      </c>
      <c r="E53" s="5" t="s">
        <v>227</v>
      </c>
    </row>
    <row r="54" spans="1:5" ht="16" x14ac:dyDescent="0.2">
      <c r="A54" s="2" t="s">
        <v>127</v>
      </c>
      <c r="B54" s="3" t="s">
        <v>115</v>
      </c>
      <c r="C54" s="4">
        <v>1792</v>
      </c>
      <c r="D54" s="4">
        <v>913373</v>
      </c>
      <c r="E54" s="5" t="s">
        <v>301</v>
      </c>
    </row>
    <row r="55" spans="1:5" ht="16" x14ac:dyDescent="0.2">
      <c r="A55" s="2" t="s">
        <v>161</v>
      </c>
      <c r="B55" s="3" t="s">
        <v>99</v>
      </c>
      <c r="C55" s="4">
        <v>1901</v>
      </c>
      <c r="D55" s="4">
        <v>901180</v>
      </c>
      <c r="E55" s="5" t="s">
        <v>301</v>
      </c>
    </row>
    <row r="56" spans="1:5" ht="16" x14ac:dyDescent="0.2">
      <c r="A56" s="2" t="s">
        <v>129</v>
      </c>
      <c r="B56" s="3" t="s">
        <v>51</v>
      </c>
      <c r="C56" s="4">
        <v>1560</v>
      </c>
      <c r="D56" s="4">
        <v>859124</v>
      </c>
      <c r="E56" s="5" t="s">
        <v>312</v>
      </c>
    </row>
    <row r="57" spans="1:5" ht="16" x14ac:dyDescent="0.2">
      <c r="A57" s="2" t="s">
        <v>130</v>
      </c>
      <c r="B57" s="3" t="s">
        <v>97</v>
      </c>
      <c r="C57" s="4">
        <v>1891</v>
      </c>
      <c r="D57" s="4">
        <v>829541</v>
      </c>
      <c r="E57" s="5" t="s">
        <v>282</v>
      </c>
    </row>
    <row r="58" spans="1:5" ht="16" x14ac:dyDescent="0.2">
      <c r="A58" s="2" t="s">
        <v>162</v>
      </c>
      <c r="B58" s="3" t="s">
        <v>247</v>
      </c>
      <c r="C58" s="4">
        <v>1893</v>
      </c>
      <c r="D58" s="4">
        <v>825850.04</v>
      </c>
      <c r="E58" s="5" t="s">
        <v>282</v>
      </c>
    </row>
    <row r="59" spans="1:5" ht="16" x14ac:dyDescent="0.2">
      <c r="A59" s="2" t="s">
        <v>132</v>
      </c>
      <c r="B59" s="3" t="s">
        <v>242</v>
      </c>
      <c r="C59" s="4">
        <v>1642</v>
      </c>
      <c r="D59" s="4">
        <v>825567</v>
      </c>
      <c r="E59" s="5" t="s">
        <v>282</v>
      </c>
    </row>
    <row r="60" spans="1:5" ht="16" x14ac:dyDescent="0.2">
      <c r="A60" s="2" t="s">
        <v>163</v>
      </c>
      <c r="B60" s="3" t="s">
        <v>248</v>
      </c>
      <c r="C60" s="4">
        <v>1765</v>
      </c>
      <c r="D60" s="4">
        <v>817052</v>
      </c>
      <c r="E60" s="5" t="s">
        <v>282</v>
      </c>
    </row>
    <row r="61" spans="1:5" ht="16" x14ac:dyDescent="0.2">
      <c r="A61" s="2" t="s">
        <v>133</v>
      </c>
      <c r="B61" s="3" t="s">
        <v>73</v>
      </c>
      <c r="C61" s="4">
        <v>1838</v>
      </c>
      <c r="D61" s="4">
        <v>800129</v>
      </c>
      <c r="E61" s="5" t="s">
        <v>339</v>
      </c>
    </row>
    <row r="62" spans="1:5" ht="16" x14ac:dyDescent="0.2">
      <c r="A62" s="2" t="s">
        <v>134</v>
      </c>
      <c r="B62" s="3" t="s">
        <v>40</v>
      </c>
      <c r="C62" s="4">
        <v>1713</v>
      </c>
      <c r="D62" s="4">
        <v>796912.5</v>
      </c>
      <c r="E62" s="5" t="s">
        <v>339</v>
      </c>
    </row>
    <row r="63" spans="1:5" ht="16" x14ac:dyDescent="0.2">
      <c r="A63" s="2" t="s">
        <v>135</v>
      </c>
      <c r="B63" s="3" t="s">
        <v>228</v>
      </c>
      <c r="C63" s="4">
        <v>1862</v>
      </c>
      <c r="D63" s="4">
        <v>791100.5</v>
      </c>
      <c r="E63" s="5" t="s">
        <v>339</v>
      </c>
    </row>
    <row r="64" spans="1:5" ht="16" x14ac:dyDescent="0.2">
      <c r="A64" s="2" t="s">
        <v>136</v>
      </c>
      <c r="B64" s="3" t="s">
        <v>124</v>
      </c>
      <c r="C64" s="4">
        <v>1669</v>
      </c>
      <c r="D64" s="4">
        <v>777578.8</v>
      </c>
      <c r="E64" s="5" t="s">
        <v>292</v>
      </c>
    </row>
    <row r="65" spans="1:5" ht="16" x14ac:dyDescent="0.2">
      <c r="A65" s="2" t="s">
        <v>164</v>
      </c>
      <c r="B65" s="3" t="s">
        <v>86</v>
      </c>
      <c r="C65" s="4">
        <v>1363</v>
      </c>
      <c r="D65" s="4">
        <v>772167</v>
      </c>
      <c r="E65" s="5" t="s">
        <v>292</v>
      </c>
    </row>
    <row r="66" spans="1:5" ht="16" x14ac:dyDescent="0.2">
      <c r="A66" s="2" t="s">
        <v>137</v>
      </c>
      <c r="B66" s="3" t="s">
        <v>106</v>
      </c>
      <c r="C66" s="4">
        <v>1394</v>
      </c>
      <c r="D66" s="4">
        <v>769099</v>
      </c>
      <c r="E66" s="5" t="s">
        <v>281</v>
      </c>
    </row>
    <row r="67" spans="1:5" ht="16" x14ac:dyDescent="0.2">
      <c r="A67" s="2" t="s">
        <v>150</v>
      </c>
      <c r="B67" s="3" t="s">
        <v>143</v>
      </c>
      <c r="C67" s="4">
        <v>1572</v>
      </c>
      <c r="D67" s="4">
        <v>743682.5</v>
      </c>
      <c r="E67" s="5" t="s">
        <v>389</v>
      </c>
    </row>
    <row r="68" spans="1:5" ht="16" x14ac:dyDescent="0.2">
      <c r="A68" s="2" t="s">
        <v>138</v>
      </c>
      <c r="B68" s="3" t="s">
        <v>131</v>
      </c>
      <c r="C68" s="4">
        <v>1439</v>
      </c>
      <c r="D68" s="4">
        <v>710321</v>
      </c>
      <c r="E68" s="5" t="s">
        <v>374</v>
      </c>
    </row>
    <row r="69" spans="1:5" ht="16" x14ac:dyDescent="0.2">
      <c r="A69" s="2" t="s">
        <v>151</v>
      </c>
      <c r="B69" s="3" t="s">
        <v>128</v>
      </c>
      <c r="C69" s="4">
        <v>1519</v>
      </c>
      <c r="D69" s="4">
        <v>708646</v>
      </c>
      <c r="E69" s="5" t="s">
        <v>374</v>
      </c>
    </row>
    <row r="70" spans="1:5" ht="16" x14ac:dyDescent="0.2">
      <c r="A70" s="2" t="s">
        <v>153</v>
      </c>
      <c r="B70" s="3" t="s">
        <v>327</v>
      </c>
      <c r="C70" s="4">
        <v>1376</v>
      </c>
      <c r="D70" s="4">
        <v>682874.99999999988</v>
      </c>
      <c r="E70" s="5" t="s">
        <v>278</v>
      </c>
    </row>
    <row r="71" spans="1:5" ht="16" x14ac:dyDescent="0.2">
      <c r="A71" s="2" t="s">
        <v>166</v>
      </c>
      <c r="B71" s="3" t="s">
        <v>184</v>
      </c>
      <c r="C71" s="4">
        <v>1455</v>
      </c>
      <c r="D71" s="4">
        <v>672115.8</v>
      </c>
      <c r="E71" s="5" t="s">
        <v>278</v>
      </c>
    </row>
    <row r="72" spans="1:5" ht="16" x14ac:dyDescent="0.2">
      <c r="A72" s="2" t="s">
        <v>167</v>
      </c>
      <c r="B72" s="3" t="s">
        <v>165</v>
      </c>
      <c r="C72" s="4">
        <v>1321</v>
      </c>
      <c r="D72" s="4">
        <v>671624.5</v>
      </c>
      <c r="E72" s="5" t="s">
        <v>278</v>
      </c>
    </row>
    <row r="73" spans="1:5" ht="16" x14ac:dyDescent="0.2">
      <c r="A73" s="2" t="s">
        <v>173</v>
      </c>
      <c r="B73" s="3" t="s">
        <v>118</v>
      </c>
      <c r="C73" s="4">
        <v>1567</v>
      </c>
      <c r="D73" s="4">
        <v>657963</v>
      </c>
      <c r="E73" s="5" t="s">
        <v>319</v>
      </c>
    </row>
    <row r="74" spans="1:5" ht="16" x14ac:dyDescent="0.2">
      <c r="A74" s="2" t="s">
        <v>174</v>
      </c>
      <c r="B74" s="3" t="s">
        <v>197</v>
      </c>
      <c r="C74" s="4">
        <v>1535</v>
      </c>
      <c r="D74" s="4">
        <v>655007</v>
      </c>
      <c r="E74" s="5" t="s">
        <v>319</v>
      </c>
    </row>
    <row r="75" spans="1:5" ht="16" x14ac:dyDescent="0.2">
      <c r="A75" s="2" t="s">
        <v>175</v>
      </c>
      <c r="B75" s="3" t="s">
        <v>126</v>
      </c>
      <c r="C75" s="4">
        <v>1303</v>
      </c>
      <c r="D75" s="4">
        <v>634878</v>
      </c>
      <c r="E75" s="5" t="s">
        <v>340</v>
      </c>
    </row>
    <row r="76" spans="1:5" ht="16" x14ac:dyDescent="0.2">
      <c r="A76" s="2" t="s">
        <v>177</v>
      </c>
      <c r="B76" s="3" t="s">
        <v>196</v>
      </c>
      <c r="C76" s="4">
        <v>1373</v>
      </c>
      <c r="D76" s="4">
        <v>592542.23</v>
      </c>
      <c r="E76" s="5" t="s">
        <v>352</v>
      </c>
    </row>
    <row r="77" spans="1:5" ht="16" x14ac:dyDescent="0.2">
      <c r="A77" s="2" t="s">
        <v>178</v>
      </c>
      <c r="B77" s="3" t="s">
        <v>190</v>
      </c>
      <c r="C77" s="4">
        <v>1150</v>
      </c>
      <c r="D77" s="4">
        <v>590889</v>
      </c>
      <c r="E77" s="5" t="s">
        <v>352</v>
      </c>
    </row>
    <row r="78" spans="1:5" ht="16" x14ac:dyDescent="0.2">
      <c r="A78" s="2" t="s">
        <v>185</v>
      </c>
      <c r="B78" s="3" t="s">
        <v>279</v>
      </c>
      <c r="C78" s="4">
        <v>1187</v>
      </c>
      <c r="D78" s="4">
        <v>586400</v>
      </c>
      <c r="E78" s="5" t="s">
        <v>352</v>
      </c>
    </row>
    <row r="79" spans="1:5" ht="16" x14ac:dyDescent="0.2">
      <c r="A79" s="2" t="s">
        <v>186</v>
      </c>
      <c r="B79" s="3" t="s">
        <v>152</v>
      </c>
      <c r="C79" s="4">
        <v>1174</v>
      </c>
      <c r="D79" s="4">
        <v>556672</v>
      </c>
      <c r="E79" s="5" t="s">
        <v>299</v>
      </c>
    </row>
    <row r="80" spans="1:5" ht="16" x14ac:dyDescent="0.2">
      <c r="A80" s="2" t="s">
        <v>201</v>
      </c>
      <c r="B80" s="3" t="s">
        <v>326</v>
      </c>
      <c r="C80" s="4">
        <v>995</v>
      </c>
      <c r="D80" s="4">
        <v>532081</v>
      </c>
      <c r="E80" s="5" t="s">
        <v>399</v>
      </c>
    </row>
    <row r="81" spans="1:5" ht="16" x14ac:dyDescent="0.2">
      <c r="A81" s="2" t="s">
        <v>202</v>
      </c>
      <c r="B81" s="3" t="s">
        <v>229</v>
      </c>
      <c r="C81" s="4">
        <v>1045</v>
      </c>
      <c r="D81" s="4">
        <v>481242</v>
      </c>
      <c r="E81" s="5" t="s">
        <v>304</v>
      </c>
    </row>
    <row r="82" spans="1:5" ht="16" x14ac:dyDescent="0.2">
      <c r="A82" s="2" t="s">
        <v>203</v>
      </c>
      <c r="B82" s="3" t="s">
        <v>226</v>
      </c>
      <c r="C82" s="4">
        <v>1015</v>
      </c>
      <c r="D82" s="4">
        <v>472637</v>
      </c>
      <c r="E82" s="5" t="s">
        <v>304</v>
      </c>
    </row>
    <row r="83" spans="1:5" ht="16" x14ac:dyDescent="0.2">
      <c r="A83" s="2" t="s">
        <v>204</v>
      </c>
      <c r="B83" s="3" t="s">
        <v>38</v>
      </c>
      <c r="C83" s="4">
        <v>938</v>
      </c>
      <c r="D83" s="4">
        <v>432844</v>
      </c>
      <c r="E83" s="5" t="s">
        <v>433</v>
      </c>
    </row>
    <row r="84" spans="1:5" ht="16" x14ac:dyDescent="0.2">
      <c r="A84" s="2" t="s">
        <v>205</v>
      </c>
      <c r="B84" s="3" t="s">
        <v>37</v>
      </c>
      <c r="C84" s="4">
        <v>1285</v>
      </c>
      <c r="D84" s="4">
        <v>404587</v>
      </c>
      <c r="E84" s="5" t="s">
        <v>385</v>
      </c>
    </row>
    <row r="85" spans="1:5" ht="16" x14ac:dyDescent="0.2">
      <c r="A85" s="2" t="s">
        <v>212</v>
      </c>
      <c r="B85" s="3" t="s">
        <v>241</v>
      </c>
      <c r="C85" s="4">
        <v>764</v>
      </c>
      <c r="D85" s="4">
        <v>375125</v>
      </c>
      <c r="E85" s="5" t="s">
        <v>305</v>
      </c>
    </row>
    <row r="86" spans="1:5" ht="16" x14ac:dyDescent="0.2">
      <c r="A86" s="2" t="s">
        <v>217</v>
      </c>
      <c r="B86" s="3" t="s">
        <v>332</v>
      </c>
      <c r="C86" s="4">
        <v>803</v>
      </c>
      <c r="D86" s="4">
        <v>361842.3</v>
      </c>
      <c r="E86" s="5" t="s">
        <v>305</v>
      </c>
    </row>
    <row r="87" spans="1:5" ht="16" x14ac:dyDescent="0.2">
      <c r="A87" s="2" t="s">
        <v>218</v>
      </c>
      <c r="B87" s="3" t="s">
        <v>36</v>
      </c>
      <c r="C87" s="4">
        <v>1166</v>
      </c>
      <c r="D87" s="4">
        <v>359954</v>
      </c>
      <c r="E87" s="5" t="s">
        <v>305</v>
      </c>
    </row>
    <row r="88" spans="1:5" ht="16" x14ac:dyDescent="0.2">
      <c r="A88" s="2" t="s">
        <v>219</v>
      </c>
      <c r="B88" s="3" t="s">
        <v>369</v>
      </c>
      <c r="C88" s="4">
        <v>748</v>
      </c>
      <c r="D88" s="4">
        <v>327278</v>
      </c>
      <c r="E88" s="5" t="s">
        <v>316</v>
      </c>
    </row>
    <row r="89" spans="1:5" ht="16" x14ac:dyDescent="0.2">
      <c r="A89" s="2" t="s">
        <v>233</v>
      </c>
      <c r="B89" s="3" t="s">
        <v>198</v>
      </c>
      <c r="C89" s="4">
        <v>741</v>
      </c>
      <c r="D89" s="4">
        <v>323459</v>
      </c>
      <c r="E89" s="5" t="s">
        <v>316</v>
      </c>
    </row>
    <row r="90" spans="1:5" ht="16" x14ac:dyDescent="0.2">
      <c r="A90" s="2" t="s">
        <v>234</v>
      </c>
      <c r="B90" s="3" t="s">
        <v>331</v>
      </c>
      <c r="C90" s="4">
        <v>901</v>
      </c>
      <c r="D90" s="4">
        <v>322642</v>
      </c>
      <c r="E90" s="5" t="s">
        <v>316</v>
      </c>
    </row>
    <row r="91" spans="1:5" ht="16" x14ac:dyDescent="0.2">
      <c r="A91" s="2" t="s">
        <v>235</v>
      </c>
      <c r="B91" s="3" t="s">
        <v>375</v>
      </c>
      <c r="C91" s="4">
        <v>846</v>
      </c>
      <c r="D91" s="4">
        <v>296882</v>
      </c>
      <c r="E91" s="5" t="s">
        <v>434</v>
      </c>
    </row>
    <row r="92" spans="1:5" ht="16" x14ac:dyDescent="0.2">
      <c r="A92" s="2" t="s">
        <v>236</v>
      </c>
      <c r="B92" s="3" t="s">
        <v>6</v>
      </c>
      <c r="C92" s="4">
        <v>682</v>
      </c>
      <c r="D92" s="4">
        <v>278416</v>
      </c>
      <c r="E92" s="5" t="s">
        <v>434</v>
      </c>
    </row>
    <row r="93" spans="1:5" ht="16" x14ac:dyDescent="0.2">
      <c r="A93" s="2" t="s">
        <v>237</v>
      </c>
      <c r="B93" s="3" t="s">
        <v>191</v>
      </c>
      <c r="C93" s="4">
        <v>590</v>
      </c>
      <c r="D93" s="4">
        <v>262763</v>
      </c>
      <c r="E93" s="5" t="s">
        <v>314</v>
      </c>
    </row>
    <row r="94" spans="1:5" ht="16" x14ac:dyDescent="0.2">
      <c r="A94" s="2" t="s">
        <v>243</v>
      </c>
      <c r="B94" s="3" t="s">
        <v>377</v>
      </c>
      <c r="C94" s="4">
        <v>485</v>
      </c>
      <c r="D94" s="4">
        <v>261574</v>
      </c>
      <c r="E94" s="5" t="s">
        <v>314</v>
      </c>
    </row>
    <row r="95" spans="1:5" ht="16" x14ac:dyDescent="0.2">
      <c r="A95" s="2" t="s">
        <v>244</v>
      </c>
      <c r="B95" s="3" t="s">
        <v>315</v>
      </c>
      <c r="C95" s="4">
        <v>782</v>
      </c>
      <c r="D95" s="4">
        <v>239808</v>
      </c>
      <c r="E95" s="5" t="s">
        <v>302</v>
      </c>
    </row>
    <row r="96" spans="1:5" ht="16" x14ac:dyDescent="0.2">
      <c r="A96" s="2" t="s">
        <v>254</v>
      </c>
      <c r="B96" s="3" t="s">
        <v>7</v>
      </c>
      <c r="C96" s="4">
        <v>570</v>
      </c>
      <c r="D96" s="4">
        <v>183462</v>
      </c>
      <c r="E96" s="5" t="s">
        <v>320</v>
      </c>
    </row>
    <row r="97" spans="1:5" ht="16" x14ac:dyDescent="0.2">
      <c r="A97" s="2" t="s">
        <v>255</v>
      </c>
      <c r="B97" s="3" t="s">
        <v>249</v>
      </c>
      <c r="C97" s="4">
        <v>556</v>
      </c>
      <c r="D97" s="4">
        <v>168233</v>
      </c>
      <c r="E97" s="5" t="s">
        <v>362</v>
      </c>
    </row>
    <row r="98" spans="1:5" ht="16" x14ac:dyDescent="0.2">
      <c r="A98" s="2" t="s">
        <v>256</v>
      </c>
      <c r="B98" s="3" t="s">
        <v>333</v>
      </c>
      <c r="C98" s="4">
        <v>208</v>
      </c>
      <c r="D98" s="4">
        <v>74832</v>
      </c>
      <c r="E98" s="5" t="s">
        <v>370</v>
      </c>
    </row>
    <row r="99" spans="1:5" ht="16" x14ac:dyDescent="0.2">
      <c r="A99" s="2" t="s">
        <v>257</v>
      </c>
      <c r="B99" s="3" t="s">
        <v>424</v>
      </c>
      <c r="C99" s="4">
        <v>99</v>
      </c>
      <c r="D99" s="4">
        <v>35680</v>
      </c>
      <c r="E99" s="5" t="s">
        <v>357</v>
      </c>
    </row>
    <row r="100" spans="1:5" ht="16" x14ac:dyDescent="0.2">
      <c r="A100" s="2" t="s">
        <v>258</v>
      </c>
      <c r="B100" s="3" t="s">
        <v>253</v>
      </c>
      <c r="C100" s="4">
        <v>3</v>
      </c>
      <c r="D100" s="4">
        <v>35600</v>
      </c>
      <c r="E100" s="5" t="s">
        <v>357</v>
      </c>
    </row>
    <row r="101" spans="1:5" ht="16" x14ac:dyDescent="0.2">
      <c r="A101" s="2" t="s">
        <v>270</v>
      </c>
      <c r="B101" s="3" t="s">
        <v>321</v>
      </c>
      <c r="C101" s="4">
        <v>66</v>
      </c>
      <c r="D101" s="4">
        <v>31830</v>
      </c>
      <c r="E101" s="5" t="s">
        <v>357</v>
      </c>
    </row>
    <row r="102" spans="1:5" ht="16" x14ac:dyDescent="0.2">
      <c r="A102" s="2" t="s">
        <v>335</v>
      </c>
      <c r="B102" s="3" t="s">
        <v>220</v>
      </c>
      <c r="C102" s="4">
        <v>62</v>
      </c>
      <c r="D102" s="4">
        <v>15806</v>
      </c>
      <c r="E102" s="5" t="s">
        <v>286</v>
      </c>
    </row>
    <row r="103" spans="1:5" ht="16" x14ac:dyDescent="0.2">
      <c r="A103" s="2" t="s">
        <v>343</v>
      </c>
      <c r="B103" s="3" t="s">
        <v>313</v>
      </c>
      <c r="C103" s="4">
        <v>14</v>
      </c>
      <c r="D103" s="4">
        <v>4950</v>
      </c>
      <c r="E103" s="5" t="s">
        <v>181</v>
      </c>
    </row>
    <row r="104" spans="1:5" ht="16" x14ac:dyDescent="0.2">
      <c r="A104" s="2" t="s">
        <v>344</v>
      </c>
      <c r="B104" s="3" t="s">
        <v>295</v>
      </c>
      <c r="C104" s="4">
        <v>5</v>
      </c>
      <c r="D104" s="4">
        <v>3320</v>
      </c>
      <c r="E104" s="5" t="s">
        <v>181</v>
      </c>
    </row>
    <row r="105" spans="1:5" ht="16" x14ac:dyDescent="0.2">
      <c r="A105" s="2" t="s">
        <v>354</v>
      </c>
      <c r="B105" s="3" t="s">
        <v>232</v>
      </c>
      <c r="C105" s="4">
        <v>0</v>
      </c>
      <c r="D105" s="4">
        <v>0</v>
      </c>
      <c r="E105" s="5" t="s">
        <v>181</v>
      </c>
    </row>
    <row r="106" spans="1:5" ht="16" x14ac:dyDescent="0.2">
      <c r="A106" s="2" t="s">
        <v>365</v>
      </c>
      <c r="B106" s="3" t="s">
        <v>277</v>
      </c>
      <c r="C106" s="4">
        <v>0</v>
      </c>
      <c r="D106" s="4">
        <v>0</v>
      </c>
      <c r="E106" s="5" t="s">
        <v>181</v>
      </c>
    </row>
    <row r="107" spans="1:5" ht="16" x14ac:dyDescent="0.2">
      <c r="A107" s="2" t="s">
        <v>376</v>
      </c>
      <c r="B107" s="3" t="s">
        <v>427</v>
      </c>
      <c r="C107" s="4">
        <v>0</v>
      </c>
      <c r="D107" s="4">
        <v>0</v>
      </c>
      <c r="E107" s="5" t="s">
        <v>181</v>
      </c>
    </row>
    <row r="108" spans="1:5" ht="16" x14ac:dyDescent="0.2">
      <c r="A108" s="2" t="s">
        <v>378</v>
      </c>
      <c r="B108" s="3" t="s">
        <v>359</v>
      </c>
      <c r="C108" s="4">
        <v>0</v>
      </c>
      <c r="D108" s="4">
        <v>0</v>
      </c>
      <c r="E108" s="5" t="s">
        <v>181</v>
      </c>
    </row>
    <row r="109" spans="1:5" ht="16" x14ac:dyDescent="0.2">
      <c r="A109" s="2" t="s">
        <v>400</v>
      </c>
      <c r="B109" s="3" t="s">
        <v>221</v>
      </c>
      <c r="C109" s="4">
        <v>-73</v>
      </c>
      <c r="D109" s="4">
        <v>-10558.82</v>
      </c>
      <c r="E109" s="5" t="s">
        <v>407</v>
      </c>
    </row>
    <row r="110" spans="1:5" ht="16" x14ac:dyDescent="0.2">
      <c r="A110" s="2" t="s">
        <v>428</v>
      </c>
      <c r="B110" s="3" t="s">
        <v>182</v>
      </c>
      <c r="C110" s="4">
        <v>-7178</v>
      </c>
      <c r="D110" s="4">
        <v>-2364153.0000000005</v>
      </c>
      <c r="E110" s="5" t="s">
        <v>425</v>
      </c>
    </row>
    <row r="112" spans="1:5" ht="16" x14ac:dyDescent="0.2">
      <c r="B112" s="2" t="s">
        <v>139</v>
      </c>
      <c r="C112" s="6" t="s">
        <v>140</v>
      </c>
    </row>
    <row r="113" spans="2:3" ht="16" x14ac:dyDescent="0.2">
      <c r="B113" s="2" t="s">
        <v>141</v>
      </c>
      <c r="C113" s="6" t="s">
        <v>435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2038-B555-7F4C-A170-734FE1AFA547}">
  <sheetPr codeName="Sheet7">
    <tabColor rgb="FF00A400"/>
  </sheetPr>
  <dimension ref="A1:BU76"/>
  <sheetViews>
    <sheetView tabSelected="1" zoomScale="37" zoomScaleNormal="37" workbookViewId="0">
      <pane ySplit="2" topLeftCell="A3" activePane="bottomLeft" state="frozen"/>
      <selection pane="bottomLeft" activeCell="C13" sqref="C13"/>
    </sheetView>
  </sheetViews>
  <sheetFormatPr baseColWidth="10" defaultRowHeight="18" x14ac:dyDescent="0.2"/>
  <cols>
    <col min="1" max="1" width="44.85546875" style="50" customWidth="1"/>
    <col min="2" max="2" width="17.140625" style="50" hidden="1" customWidth="1"/>
    <col min="3" max="3" width="16.7109375" style="50" customWidth="1"/>
    <col min="4" max="4" width="13.85546875" style="50" customWidth="1"/>
    <col min="5" max="5" width="17.28515625" style="50" customWidth="1"/>
    <col min="6" max="6" width="16" style="50" customWidth="1"/>
    <col min="7" max="7" width="11.42578125" style="50" customWidth="1"/>
    <col min="8" max="8" width="10.28515625" style="50" customWidth="1"/>
    <col min="9" max="9" width="8.140625" style="50" customWidth="1"/>
    <col min="10" max="10" width="11.5703125" style="50" customWidth="1"/>
    <col min="11" max="11" width="18.28515625" style="50" hidden="1" customWidth="1"/>
    <col min="12" max="12" width="12.42578125" style="50" customWidth="1"/>
    <col min="13" max="13" width="12.42578125" style="50" hidden="1" customWidth="1"/>
    <col min="14" max="14" width="13.5703125" style="50" customWidth="1"/>
    <col min="15" max="19" width="15.28515625" style="50" hidden="1" customWidth="1"/>
    <col min="20" max="20" width="14.140625" style="50" hidden="1" customWidth="1"/>
    <col min="21" max="21" width="12.42578125" style="50" hidden="1" customWidth="1"/>
    <col min="22" max="22" width="16.28515625" style="50" hidden="1" customWidth="1"/>
    <col min="23" max="23" width="18.5703125" style="50" hidden="1" customWidth="1"/>
    <col min="24" max="24" width="10.42578125" style="50" customWidth="1"/>
    <col min="25" max="25" width="10.140625" style="50" hidden="1" customWidth="1"/>
    <col min="26" max="26" width="14.85546875" style="50" hidden="1" customWidth="1"/>
    <col min="27" max="28" width="16" style="50" customWidth="1"/>
    <col min="29" max="29" width="13.85546875" style="50" customWidth="1"/>
    <col min="30" max="30" width="12.7109375" style="50" customWidth="1"/>
    <col min="31" max="31" width="14.85546875" style="50" hidden="1" customWidth="1"/>
    <col min="32" max="33" width="16" style="50" customWidth="1"/>
    <col min="34" max="34" width="13.85546875" style="50" customWidth="1"/>
    <col min="35" max="35" width="13.140625" style="50" customWidth="1"/>
    <col min="36" max="37" width="16" style="50" customWidth="1"/>
    <col min="38" max="40" width="15.140625" style="50" customWidth="1"/>
    <col min="41" max="41" width="13.85546875" style="50" customWidth="1"/>
    <col min="42" max="42" width="12.28515625" style="50" customWidth="1"/>
    <col min="43" max="43" width="64.7109375" style="53" customWidth="1"/>
    <col min="44" max="44" width="23" style="50" customWidth="1"/>
    <col min="45" max="45" width="64.85546875" style="50" customWidth="1"/>
    <col min="46" max="47" width="25.7109375" style="50" customWidth="1"/>
    <col min="48" max="48" width="19.28515625" style="50" customWidth="1"/>
    <col min="49" max="49" width="25.7109375" style="50" customWidth="1"/>
    <col min="50" max="50" width="20.28515625" style="50" customWidth="1"/>
    <col min="51" max="51" width="21" style="50" customWidth="1"/>
    <col min="52" max="52" width="25.28515625" style="50" customWidth="1"/>
    <col min="53" max="53" width="18.140625" style="50" customWidth="1"/>
    <col min="54" max="16384" width="10.7109375" style="50"/>
  </cols>
  <sheetData>
    <row r="1" spans="1:73" s="16" customFormat="1" ht="48" customHeight="1" x14ac:dyDescent="0.15">
      <c r="A1" s="110"/>
      <c r="B1" s="111" t="s">
        <v>168</v>
      </c>
      <c r="C1" s="112" t="s">
        <v>8</v>
      </c>
      <c r="D1" s="112" t="s">
        <v>8</v>
      </c>
      <c r="E1" s="175" t="s">
        <v>429</v>
      </c>
      <c r="F1" s="175"/>
      <c r="G1" s="175"/>
      <c r="H1" s="174" t="s">
        <v>10</v>
      </c>
      <c r="I1" s="174" t="s">
        <v>11</v>
      </c>
      <c r="J1" s="174" t="s">
        <v>12</v>
      </c>
      <c r="K1" s="174" t="s">
        <v>13</v>
      </c>
      <c r="L1" s="174" t="s">
        <v>14</v>
      </c>
      <c r="M1" s="179" t="s">
        <v>215</v>
      </c>
      <c r="N1" s="176" t="s">
        <v>25</v>
      </c>
      <c r="O1" s="177"/>
      <c r="P1" s="177"/>
      <c r="Q1" s="177"/>
      <c r="R1" s="177"/>
      <c r="S1" s="177"/>
      <c r="T1" s="177"/>
      <c r="U1" s="177"/>
      <c r="V1" s="177"/>
      <c r="W1" s="178"/>
      <c r="X1" s="174" t="s">
        <v>33</v>
      </c>
      <c r="Y1" s="174" t="s">
        <v>32</v>
      </c>
      <c r="Z1" s="174" t="s">
        <v>15</v>
      </c>
      <c r="AA1" s="174"/>
      <c r="AB1" s="174"/>
      <c r="AC1" s="174"/>
      <c r="AD1" s="174"/>
      <c r="AE1" s="174" t="s">
        <v>16</v>
      </c>
      <c r="AF1" s="174"/>
      <c r="AG1" s="174"/>
      <c r="AH1" s="174"/>
      <c r="AI1" s="174"/>
      <c r="AJ1" s="174" t="s">
        <v>29</v>
      </c>
      <c r="AK1" s="174"/>
      <c r="AL1" s="174"/>
      <c r="AM1" s="174"/>
      <c r="AN1" s="174"/>
      <c r="AO1" s="174"/>
      <c r="AP1" s="174"/>
      <c r="AQ1" s="175" t="s">
        <v>17</v>
      </c>
      <c r="AS1" s="170" t="s">
        <v>176</v>
      </c>
      <c r="AT1" s="170" t="s">
        <v>216</v>
      </c>
      <c r="AU1" s="170"/>
      <c r="AV1" s="170"/>
      <c r="AW1" s="170"/>
      <c r="AX1" s="170"/>
      <c r="AY1" s="170" t="s">
        <v>224</v>
      </c>
      <c r="AZ1" s="170"/>
      <c r="BA1" s="170"/>
    </row>
    <row r="2" spans="1:73" s="16" customFormat="1" ht="40" customHeight="1" x14ac:dyDescent="0.15">
      <c r="A2" s="115" t="s">
        <v>176</v>
      </c>
      <c r="B2" s="116">
        <v>1</v>
      </c>
      <c r="C2" s="117">
        <v>1</v>
      </c>
      <c r="D2" s="112" t="s">
        <v>9</v>
      </c>
      <c r="E2" s="113" t="s">
        <v>18</v>
      </c>
      <c r="F2" s="113" t="s">
        <v>19</v>
      </c>
      <c r="G2" s="113" t="s">
        <v>20</v>
      </c>
      <c r="H2" s="174"/>
      <c r="I2" s="174"/>
      <c r="J2" s="174"/>
      <c r="K2" s="174"/>
      <c r="L2" s="174"/>
      <c r="M2" s="180"/>
      <c r="N2" s="114" t="s">
        <v>28</v>
      </c>
      <c r="O2" s="114" t="s">
        <v>42</v>
      </c>
      <c r="P2" s="118" t="s">
        <v>21</v>
      </c>
      <c r="Q2" s="118" t="s">
        <v>193</v>
      </c>
      <c r="R2" s="118" t="s">
        <v>194</v>
      </c>
      <c r="S2" s="118" t="s">
        <v>195</v>
      </c>
      <c r="T2" s="114" t="s">
        <v>179</v>
      </c>
      <c r="U2" s="118" t="s">
        <v>22</v>
      </c>
      <c r="V2" s="114" t="s">
        <v>180</v>
      </c>
      <c r="W2" s="118" t="s">
        <v>23</v>
      </c>
      <c r="X2" s="174"/>
      <c r="Y2" s="174"/>
      <c r="Z2" s="119">
        <v>2023</v>
      </c>
      <c r="AA2" s="119">
        <v>2024</v>
      </c>
      <c r="AB2" s="119">
        <v>2025</v>
      </c>
      <c r="AC2" s="174" t="s">
        <v>12</v>
      </c>
      <c r="AD2" s="174"/>
      <c r="AE2" s="120" t="s">
        <v>189</v>
      </c>
      <c r="AF2" s="120" t="s">
        <v>289</v>
      </c>
      <c r="AG2" s="120" t="s">
        <v>317</v>
      </c>
      <c r="AH2" s="174" t="s">
        <v>12</v>
      </c>
      <c r="AI2" s="174"/>
      <c r="AJ2" s="123" t="s">
        <v>251</v>
      </c>
      <c r="AK2" s="121" t="s">
        <v>296</v>
      </c>
      <c r="AL2" s="121" t="s">
        <v>323</v>
      </c>
      <c r="AM2" s="121" t="s">
        <v>324</v>
      </c>
      <c r="AN2" s="122" t="s">
        <v>325</v>
      </c>
      <c r="AO2" s="174" t="s">
        <v>12</v>
      </c>
      <c r="AP2" s="174"/>
      <c r="AQ2" s="175"/>
      <c r="AS2" s="170"/>
      <c r="AT2" s="8" t="s">
        <v>207</v>
      </c>
      <c r="AU2" s="8" t="s">
        <v>192</v>
      </c>
      <c r="AV2" s="158" t="s">
        <v>214</v>
      </c>
      <c r="AW2" s="8" t="s">
        <v>215</v>
      </c>
      <c r="AX2" s="8" t="s">
        <v>208</v>
      </c>
      <c r="AY2" s="158" t="s">
        <v>214</v>
      </c>
      <c r="AZ2" s="8" t="s">
        <v>215</v>
      </c>
      <c r="BA2" s="8" t="s">
        <v>208</v>
      </c>
    </row>
    <row r="3" spans="1:73" s="33" customFormat="1" ht="60" customHeight="1" x14ac:dyDescent="0.15">
      <c r="A3" s="17" t="s">
        <v>102</v>
      </c>
      <c r="B3" s="18">
        <f>(C3*7)/100+C3</f>
        <v>1177000</v>
      </c>
      <c r="C3" s="19">
        <f>_xlfn.XLOOKUP(A3,'Target ปี 2026'!B:B,'Target ปี 2026'!C:C,0,0)</f>
        <v>1100000</v>
      </c>
      <c r="D3" s="19">
        <f t="shared" ref="D3:D9" si="0">C3/30</f>
        <v>36666.666666666664</v>
      </c>
      <c r="E3" s="80">
        <f>_xlfn.XLOOKUP(A3,ยอดขายปัจจุบัน!B:B,ยอดขายปัจจุบัน!D:D,0,0)</f>
        <v>1077583</v>
      </c>
      <c r="F3" s="80">
        <f t="shared" ref="F3:F9" si="1">E3*100/107</f>
        <v>1007086.9158878505</v>
      </c>
      <c r="G3" s="80">
        <f>_xlfn.XLOOKUP(A3,ยอดขายปัจจุบัน!B:B,ยอดขายปัจจุบัน!C:C,0,0)</f>
        <v>1973</v>
      </c>
      <c r="H3" s="81">
        <f t="shared" ref="H3:H9" si="2">E3/G3</f>
        <v>546.16472377090724</v>
      </c>
      <c r="I3" s="20">
        <v>450</v>
      </c>
      <c r="J3" s="21">
        <f t="shared" ref="J3:J9" si="3">(H3-I3)/H3</f>
        <v>0.17607274799249803</v>
      </c>
      <c r="K3" s="22" t="e">
        <f t="shared" ref="K3:K9" si="4">(E3-C3)/$E$37</f>
        <v>#DIV/0!</v>
      </c>
      <c r="L3" s="102">
        <f t="shared" ref="L3:L19" si="5">F3/C3</f>
        <v>0.91553355989804586</v>
      </c>
      <c r="M3" s="84"/>
      <c r="N3" s="24">
        <f t="shared" ref="N3:N9" si="6">C3-F3</f>
        <v>92913.084112149547</v>
      </c>
      <c r="O3" s="23" t="e">
        <f t="shared" ref="O3:O9" si="7">N3/$E$37</f>
        <v>#DIV/0!</v>
      </c>
      <c r="P3" s="24" t="e">
        <f t="shared" ref="P3:P9" si="8">SUM(N3/$E$37)</f>
        <v>#DIV/0!</v>
      </c>
      <c r="Q3" s="24">
        <f t="shared" ref="Q3:Q9" si="9">E3/$D$37</f>
        <v>34760.741935483871</v>
      </c>
      <c r="R3" s="24">
        <f>Q3*22</f>
        <v>764736.32258064521</v>
      </c>
      <c r="S3" s="25">
        <f>R3/C3</f>
        <v>0.69521483870967749</v>
      </c>
      <c r="T3" s="26">
        <f t="shared" ref="T3:T9" si="10">(C3-F3)*110%</f>
        <v>102204.39252336451</v>
      </c>
      <c r="U3" s="27" t="e">
        <f t="shared" ref="U3:U9" si="11">T3/$E$37</f>
        <v>#DIV/0!</v>
      </c>
      <c r="V3" s="27">
        <f t="shared" ref="V3:V9" si="12">(C3-F3)*120%</f>
        <v>111495.70093457945</v>
      </c>
      <c r="W3" s="27" t="e">
        <f t="shared" ref="W3:W9" si="13">SUM(V3/$E$37)</f>
        <v>#DIV/0!</v>
      </c>
      <c r="X3" s="28">
        <f t="shared" ref="X3:X9" si="14">E3/$E$22</f>
        <v>6.5184179613422266E-2</v>
      </c>
      <c r="Y3" s="28" t="e">
        <f t="shared" ref="Y3:Y9" si="15">E3/$H$37</f>
        <v>#DIV/0!</v>
      </c>
      <c r="Z3" s="29">
        <f>_xlfn.XLOOKUP(A3,ยอดขายปีที่แล้ว!B:B,ยอดขายปีที่แล้ว!D:D,0,0)</f>
        <v>1025039</v>
      </c>
      <c r="AA3" s="30">
        <f t="shared" ref="AA3:AA9" si="16">Z3*100/107</f>
        <v>957980.37383177574</v>
      </c>
      <c r="AB3" s="80">
        <f t="shared" ref="AB3:AB9" si="17">F3</f>
        <v>1007086.9158878505</v>
      </c>
      <c r="AC3" s="34">
        <f t="shared" ref="AC3:AC9" si="18">AB3-AA3</f>
        <v>49106.542056074715</v>
      </c>
      <c r="AD3" s="104">
        <f t="shared" ref="AD3:AD9" si="19">(AB3-AA3)/AA3</f>
        <v>5.1260488625310789E-2</v>
      </c>
      <c r="AE3" s="29">
        <f>_xlfn.XLOOKUP(A3,ยอดขายเดือนที่เแล้ว!B:B,ยอดขายเดือนที่เแล้ว!D:D,0,0)</f>
        <v>982007.5</v>
      </c>
      <c r="AF3" s="26">
        <f t="shared" ref="AF3:AF9" si="20">AE3*100/107</f>
        <v>917764.01869158878</v>
      </c>
      <c r="AG3" s="83">
        <f t="shared" ref="AG3:AG9" si="21">F3</f>
        <v>1007086.9158878505</v>
      </c>
      <c r="AH3" s="155">
        <f>AG3-AF3</f>
        <v>89322.897196261678</v>
      </c>
      <c r="AI3" s="149">
        <f>(AG3-AF3)/AF3</f>
        <v>9.7326649745546751E-2</v>
      </c>
      <c r="AJ3" s="30">
        <v>262322</v>
      </c>
      <c r="AK3" s="30">
        <v>253042</v>
      </c>
      <c r="AL3" s="30">
        <v>246980</v>
      </c>
      <c r="AM3" s="150">
        <v>206347</v>
      </c>
      <c r="AN3" s="160">
        <v>236620</v>
      </c>
      <c r="AO3" s="162">
        <f>AN3-AM3</f>
        <v>30273</v>
      </c>
      <c r="AP3" s="163">
        <f>(AN3-AM3)/AM3</f>
        <v>0.14670918404435249</v>
      </c>
      <c r="AQ3" s="31"/>
      <c r="AR3" s="32"/>
      <c r="AS3" s="9" t="str">
        <f>A3</f>
        <v>Yuedpao สาขา Mega บางนา</v>
      </c>
      <c r="AT3" s="10">
        <f>C3</f>
        <v>1100000</v>
      </c>
      <c r="AU3" s="10">
        <f>F3</f>
        <v>1007086.9158878505</v>
      </c>
      <c r="AV3" s="11">
        <f t="shared" ref="AV3:AV9" si="22">AU3/$D$37</f>
        <v>32486.674706059694</v>
      </c>
      <c r="AW3" s="12">
        <f t="shared" ref="AW3:AW9" si="23">(AV3*$E$37)+AU3</f>
        <v>1007086.9158878505</v>
      </c>
      <c r="AX3" s="96">
        <f t="shared" ref="AX3:AX9" si="24">AW3/AT3</f>
        <v>0.91553355989804586</v>
      </c>
      <c r="AY3" s="124">
        <f t="shared" ref="AY3:AY19" si="25">(AV3*50%)+AV3</f>
        <v>48730.012059089539</v>
      </c>
      <c r="AZ3" s="125">
        <f t="shared" ref="AZ3:AZ9" si="26">(AY3*$E$37)+AU3</f>
        <v>1007086.9158878505</v>
      </c>
      <c r="BA3" s="96">
        <f t="shared" ref="BA3:BA21" si="27">AZ3/AT3</f>
        <v>0.91553355989804586</v>
      </c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</row>
    <row r="4" spans="1:73" s="33" customFormat="1" ht="60" customHeight="1" x14ac:dyDescent="0.15">
      <c r="A4" s="17" t="s">
        <v>108</v>
      </c>
      <c r="B4" s="18">
        <f>(C4*7)/100+C4</f>
        <v>909500</v>
      </c>
      <c r="C4" s="19">
        <f>_xlfn.XLOOKUP(A4,'Target ปี 2026'!B:B,'Target ปี 2026'!C:C,0,0)</f>
        <v>850000</v>
      </c>
      <c r="D4" s="19">
        <f t="shared" si="0"/>
        <v>28333.333333333332</v>
      </c>
      <c r="E4" s="80">
        <f>_xlfn.XLOOKUP(A4,ยอดขายปัจจุบัน!B:B,ยอดขายปัจจุบัน!D:D,0,0)</f>
        <v>1002951.5</v>
      </c>
      <c r="F4" s="80">
        <f t="shared" si="1"/>
        <v>937337.85046728968</v>
      </c>
      <c r="G4" s="80">
        <f>_xlfn.XLOOKUP(A4,ยอดขายปัจจุบัน!B:B,ยอดขายปัจจุบัน!C:C,0,0)</f>
        <v>2032</v>
      </c>
      <c r="H4" s="81">
        <f t="shared" si="2"/>
        <v>493.57849409448818</v>
      </c>
      <c r="I4" s="20">
        <v>450</v>
      </c>
      <c r="J4" s="21">
        <f t="shared" si="3"/>
        <v>8.8290909380962068E-2</v>
      </c>
      <c r="K4" s="22" t="e">
        <f t="shared" si="4"/>
        <v>#DIV/0!</v>
      </c>
      <c r="L4" s="159">
        <f t="shared" si="5"/>
        <v>1.1027504123144585</v>
      </c>
      <c r="M4" s="84"/>
      <c r="N4" s="24">
        <f t="shared" si="6"/>
        <v>-87337.850467289682</v>
      </c>
      <c r="O4" s="23" t="e">
        <f t="shared" si="7"/>
        <v>#DIV/0!</v>
      </c>
      <c r="P4" s="24" t="e">
        <f t="shared" si="8"/>
        <v>#DIV/0!</v>
      </c>
      <c r="Q4" s="24">
        <f t="shared" si="9"/>
        <v>32353.274193548386</v>
      </c>
      <c r="R4" s="24">
        <f>Q4*22</f>
        <v>711772.03225806449</v>
      </c>
      <c r="S4" s="25">
        <f>R4/C4</f>
        <v>0.8373788614800759</v>
      </c>
      <c r="T4" s="26">
        <f t="shared" si="10"/>
        <v>-96071.635514018664</v>
      </c>
      <c r="U4" s="27" t="e">
        <f t="shared" si="11"/>
        <v>#DIV/0!</v>
      </c>
      <c r="V4" s="27">
        <f t="shared" si="12"/>
        <v>-104805.42056074762</v>
      </c>
      <c r="W4" s="27" t="e">
        <f t="shared" si="13"/>
        <v>#DIV/0!</v>
      </c>
      <c r="X4" s="28">
        <f t="shared" si="14"/>
        <v>6.0669638180586814E-2</v>
      </c>
      <c r="Y4" s="28" t="e">
        <f t="shared" si="15"/>
        <v>#DIV/0!</v>
      </c>
      <c r="Z4" s="29">
        <f>_xlfn.XLOOKUP(A4,ยอดขายปีที่แล้ว!B:B,ยอดขายปีที่แล้ว!D:D,0,0)</f>
        <v>857060</v>
      </c>
      <c r="AA4" s="30">
        <f t="shared" si="16"/>
        <v>800990.65420560748</v>
      </c>
      <c r="AB4" s="80">
        <f t="shared" si="17"/>
        <v>937337.85046728968</v>
      </c>
      <c r="AC4" s="34">
        <f t="shared" si="18"/>
        <v>136347.1962616822</v>
      </c>
      <c r="AD4" s="104">
        <f t="shared" si="19"/>
        <v>0.17022320490980788</v>
      </c>
      <c r="AE4" s="29">
        <f>_xlfn.XLOOKUP(A4,ยอดขายเดือนที่เแล้ว!B:B,ยอดขายเดือนที่เแล้ว!D:D,0,0)</f>
        <v>784810.5</v>
      </c>
      <c r="AF4" s="26">
        <f t="shared" si="20"/>
        <v>733467.75700934581</v>
      </c>
      <c r="AG4" s="83">
        <f t="shared" si="21"/>
        <v>937337.85046728968</v>
      </c>
      <c r="AH4" s="148">
        <f t="shared" ref="AH4:AH21" si="28">AG4-AF4</f>
        <v>203870.09345794388</v>
      </c>
      <c r="AI4" s="149">
        <f t="shared" ref="AI4:AI22" si="29">(AG4-AF4)/AF4</f>
        <v>0.27795372258653517</v>
      </c>
      <c r="AJ4" s="30">
        <v>218411.5</v>
      </c>
      <c r="AK4" s="30">
        <v>224403</v>
      </c>
      <c r="AL4" s="30">
        <v>222311.5</v>
      </c>
      <c r="AM4" s="150">
        <v>204595</v>
      </c>
      <c r="AN4" s="160">
        <v>258956</v>
      </c>
      <c r="AO4" s="162">
        <f t="shared" ref="AO4:AO22" si="30">AN4-AM4</f>
        <v>54361</v>
      </c>
      <c r="AP4" s="163">
        <f t="shared" ref="AP4:AP22" si="31">(AN4-AM4)/AM4</f>
        <v>0.26570053031599011</v>
      </c>
      <c r="AQ4" s="31"/>
      <c r="AR4" s="32"/>
      <c r="AS4" s="9" t="str">
        <f t="shared" ref="AS4:AS9" si="32">A4</f>
        <v>Yuedpao สาขา The Mall โคราช</v>
      </c>
      <c r="AT4" s="10">
        <f t="shared" ref="AT4:AT9" si="33">C4</f>
        <v>850000</v>
      </c>
      <c r="AU4" s="10">
        <f t="shared" ref="AU4:AU9" si="34">F4</f>
        <v>937337.85046728968</v>
      </c>
      <c r="AV4" s="11">
        <f t="shared" si="22"/>
        <v>30236.70485378354</v>
      </c>
      <c r="AW4" s="12">
        <f t="shared" si="23"/>
        <v>937337.85046728968</v>
      </c>
      <c r="AX4" s="166">
        <f t="shared" si="24"/>
        <v>1.1027504123144585</v>
      </c>
      <c r="AY4" s="124">
        <f t="shared" si="25"/>
        <v>45355.057280675312</v>
      </c>
      <c r="AZ4" s="125">
        <f t="shared" si="26"/>
        <v>937337.85046728968</v>
      </c>
      <c r="BA4" s="96">
        <f t="shared" si="27"/>
        <v>1.1027504123144585</v>
      </c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</row>
    <row r="5" spans="1:73" s="33" customFormat="1" ht="60" customHeight="1" x14ac:dyDescent="0.15">
      <c r="A5" s="17" t="s">
        <v>1</v>
      </c>
      <c r="B5" s="18">
        <f t="shared" ref="B5:B9" si="35">(C5*7)/100+C5</f>
        <v>1177000</v>
      </c>
      <c r="C5" s="19">
        <f>_xlfn.XLOOKUP(A5,'Target ปี 2026'!B:B,'Target ปี 2026'!C:C,0,0)</f>
        <v>1100000</v>
      </c>
      <c r="D5" s="19">
        <f t="shared" si="0"/>
        <v>36666.666666666664</v>
      </c>
      <c r="E5" s="80">
        <f>_xlfn.XLOOKUP(A5,ยอดขายปัจจุบัน!B:B,ยอดขายปัจจุบัน!D:D,0,0)</f>
        <v>1085005</v>
      </c>
      <c r="F5" s="80">
        <f t="shared" si="1"/>
        <v>1014023.3644859813</v>
      </c>
      <c r="G5" s="80">
        <f>_xlfn.XLOOKUP(A5,ยอดขายปัจจุบัน!B:B,ยอดขายปัจจุบัน!C:C,0,0)</f>
        <v>2049</v>
      </c>
      <c r="H5" s="81">
        <f t="shared" si="2"/>
        <v>529.52903855539284</v>
      </c>
      <c r="I5" s="20">
        <v>450</v>
      </c>
      <c r="J5" s="21">
        <f t="shared" si="3"/>
        <v>0.15018824798042402</v>
      </c>
      <c r="K5" s="22" t="e">
        <f t="shared" si="4"/>
        <v>#DIV/0!</v>
      </c>
      <c r="L5" s="102">
        <f t="shared" si="5"/>
        <v>0.92183942225998294</v>
      </c>
      <c r="M5" s="84"/>
      <c r="N5" s="24">
        <f t="shared" si="6"/>
        <v>85976.635514018708</v>
      </c>
      <c r="O5" s="23" t="e">
        <f t="shared" si="7"/>
        <v>#DIV/0!</v>
      </c>
      <c r="P5" s="24" t="e">
        <f t="shared" si="8"/>
        <v>#DIV/0!</v>
      </c>
      <c r="Q5" s="24">
        <f t="shared" si="9"/>
        <v>35000.161290322583</v>
      </c>
      <c r="R5" s="24">
        <f t="shared" ref="R5:R9" si="36">Q5*22</f>
        <v>770003.54838709685</v>
      </c>
      <c r="S5" s="25">
        <f t="shared" ref="S5:S9" si="37">R5/C5</f>
        <v>0.70000322580645169</v>
      </c>
      <c r="T5" s="26">
        <f t="shared" si="10"/>
        <v>94574.299065420593</v>
      </c>
      <c r="U5" s="27" t="e">
        <f t="shared" si="11"/>
        <v>#DIV/0!</v>
      </c>
      <c r="V5" s="27">
        <f t="shared" si="12"/>
        <v>103171.96261682245</v>
      </c>
      <c r="W5" s="27" t="e">
        <f t="shared" si="13"/>
        <v>#DIV/0!</v>
      </c>
      <c r="X5" s="28">
        <f t="shared" si="14"/>
        <v>6.5633144547994196E-2</v>
      </c>
      <c r="Y5" s="28" t="e">
        <f t="shared" si="15"/>
        <v>#DIV/0!</v>
      </c>
      <c r="Z5" s="29">
        <f>_xlfn.XLOOKUP(A5,ยอดขายปีที่แล้ว!B:B,ยอดขายปีที่แล้ว!D:D,0,0)</f>
        <v>1012146</v>
      </c>
      <c r="AA5" s="30">
        <f t="shared" si="16"/>
        <v>945930.84112149535</v>
      </c>
      <c r="AB5" s="80">
        <f t="shared" si="17"/>
        <v>1014023.3644859813</v>
      </c>
      <c r="AC5" s="34">
        <f t="shared" ref="AC5:AC6" si="38">AB5-AA5</f>
        <v>68092.52336448594</v>
      </c>
      <c r="AD5" s="104">
        <f t="shared" ref="AD5:AD6" si="39">(AB5-AA5)/AA5</f>
        <v>7.198467414780077E-2</v>
      </c>
      <c r="AE5" s="29">
        <f>_xlfn.XLOOKUP(A5,ยอดขายเดือนที่เแล้ว!B:B,ยอดขายเดือนที่เแล้ว!D:D,0,0)</f>
        <v>973986.2</v>
      </c>
      <c r="AF5" s="26">
        <f t="shared" si="20"/>
        <v>910267.47663551406</v>
      </c>
      <c r="AG5" s="83">
        <f t="shared" si="21"/>
        <v>1014023.3644859813</v>
      </c>
      <c r="AH5" s="148">
        <f t="shared" si="28"/>
        <v>103755.88785046723</v>
      </c>
      <c r="AI5" s="149">
        <f t="shared" si="29"/>
        <v>0.11398395583017494</v>
      </c>
      <c r="AJ5" s="30">
        <v>263920</v>
      </c>
      <c r="AK5" s="30">
        <v>278921</v>
      </c>
      <c r="AL5" s="30">
        <v>221565</v>
      </c>
      <c r="AM5" s="150">
        <v>222836</v>
      </c>
      <c r="AN5" s="160">
        <v>249517.5</v>
      </c>
      <c r="AO5" s="162">
        <f t="shared" si="30"/>
        <v>26681.5</v>
      </c>
      <c r="AP5" s="163">
        <f t="shared" si="31"/>
        <v>0.11973603906011596</v>
      </c>
      <c r="AQ5" s="31"/>
      <c r="AR5" s="32"/>
      <c r="AS5" s="9" t="str">
        <f t="shared" si="32"/>
        <v>Yuedpao สาขา SIAM SQUARE</v>
      </c>
      <c r="AT5" s="10">
        <f t="shared" si="33"/>
        <v>1100000</v>
      </c>
      <c r="AU5" s="10">
        <f t="shared" si="34"/>
        <v>1014023.3644859813</v>
      </c>
      <c r="AV5" s="11">
        <f t="shared" si="22"/>
        <v>32710.43111245101</v>
      </c>
      <c r="AW5" s="12">
        <f t="shared" si="23"/>
        <v>1014023.3644859813</v>
      </c>
      <c r="AX5" s="96">
        <f t="shared" si="24"/>
        <v>0.92183942225998294</v>
      </c>
      <c r="AY5" s="124">
        <f t="shared" si="25"/>
        <v>49065.646668676512</v>
      </c>
      <c r="AZ5" s="125">
        <f t="shared" si="26"/>
        <v>1014023.3644859813</v>
      </c>
      <c r="BA5" s="96">
        <f t="shared" si="27"/>
        <v>0.92183942225998294</v>
      </c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</row>
    <row r="6" spans="1:73" s="33" customFormat="1" ht="60" customHeight="1" x14ac:dyDescent="0.15">
      <c r="A6" s="17" t="s">
        <v>77</v>
      </c>
      <c r="B6" s="18">
        <f t="shared" si="35"/>
        <v>1391000</v>
      </c>
      <c r="C6" s="19">
        <f>_xlfn.XLOOKUP(A6,'Target ปี 2026'!B:B,'Target ปี 2026'!C:C,0,0)</f>
        <v>1300000</v>
      </c>
      <c r="D6" s="19">
        <f t="shared" si="0"/>
        <v>43333.333333333336</v>
      </c>
      <c r="E6" s="80">
        <f>_xlfn.XLOOKUP(A6,ยอดขายปัจจุบัน!B:B,ยอดขายปัจจุบัน!D:D,0,0)</f>
        <v>1468983.18</v>
      </c>
      <c r="F6" s="80">
        <f t="shared" si="1"/>
        <v>1372881.4766355141</v>
      </c>
      <c r="G6" s="80">
        <f>_xlfn.XLOOKUP(A6,ยอดขายปัจจุบัน!B:B,ยอดขายปัจจุบัน!C:C,0,0)</f>
        <v>2826</v>
      </c>
      <c r="H6" s="81">
        <f t="shared" si="2"/>
        <v>519.81004246284499</v>
      </c>
      <c r="I6" s="20">
        <v>450</v>
      </c>
      <c r="J6" s="35">
        <f t="shared" si="3"/>
        <v>0.13429914153271649</v>
      </c>
      <c r="K6" s="22" t="e">
        <f t="shared" si="4"/>
        <v>#DIV/0!</v>
      </c>
      <c r="L6" s="159">
        <f t="shared" si="5"/>
        <v>1.0560626743350108</v>
      </c>
      <c r="M6" s="84"/>
      <c r="N6" s="24">
        <f t="shared" si="6"/>
        <v>-72881.47663551406</v>
      </c>
      <c r="O6" s="23" t="e">
        <f t="shared" si="7"/>
        <v>#DIV/0!</v>
      </c>
      <c r="P6" s="24" t="e">
        <f t="shared" si="8"/>
        <v>#DIV/0!</v>
      </c>
      <c r="Q6" s="24">
        <f t="shared" si="9"/>
        <v>47386.554193548385</v>
      </c>
      <c r="R6" s="24">
        <f t="shared" si="36"/>
        <v>1042504.1922580645</v>
      </c>
      <c r="S6" s="25">
        <f t="shared" si="37"/>
        <v>0.80192630173697266</v>
      </c>
      <c r="T6" s="26">
        <f t="shared" si="10"/>
        <v>-80169.624299065472</v>
      </c>
      <c r="U6" s="27" t="e">
        <f t="shared" si="11"/>
        <v>#DIV/0!</v>
      </c>
      <c r="V6" s="27">
        <f t="shared" si="12"/>
        <v>-87457.771962616869</v>
      </c>
      <c r="W6" s="27" t="e">
        <f t="shared" si="13"/>
        <v>#DIV/0!</v>
      </c>
      <c r="X6" s="28">
        <f t="shared" si="14"/>
        <v>8.8860406534082489E-2</v>
      </c>
      <c r="Y6" s="28" t="e">
        <f t="shared" si="15"/>
        <v>#DIV/0!</v>
      </c>
      <c r="Z6" s="29">
        <f>_xlfn.XLOOKUP(A6,ยอดขายปีที่แล้ว!B:B,ยอดขายปีที่แล้ว!D:D,0,0)</f>
        <v>1158157.5</v>
      </c>
      <c r="AA6" s="30">
        <f t="shared" si="16"/>
        <v>1082390.1869158878</v>
      </c>
      <c r="AB6" s="80">
        <f t="shared" si="17"/>
        <v>1372881.4766355141</v>
      </c>
      <c r="AC6" s="34">
        <f t="shared" si="38"/>
        <v>290491.28971962631</v>
      </c>
      <c r="AD6" s="104">
        <f t="shared" si="39"/>
        <v>0.26837945616205067</v>
      </c>
      <c r="AE6" s="29">
        <f>_xlfn.XLOOKUP(A6,ยอดขายเดือนที่เแล้ว!B:B,ยอดขายเดือนที่เแล้ว!D:D,0,0)</f>
        <v>1286829.5</v>
      </c>
      <c r="AF6" s="30">
        <f t="shared" si="20"/>
        <v>1202644.3925233644</v>
      </c>
      <c r="AG6" s="83">
        <f t="shared" si="21"/>
        <v>1372881.4766355141</v>
      </c>
      <c r="AH6" s="148">
        <f t="shared" si="28"/>
        <v>170237.08411214966</v>
      </c>
      <c r="AI6" s="149">
        <f t="shared" si="29"/>
        <v>0.14155230354914941</v>
      </c>
      <c r="AJ6" s="30">
        <v>360601</v>
      </c>
      <c r="AK6" s="30">
        <v>375701</v>
      </c>
      <c r="AL6" s="30">
        <v>277010</v>
      </c>
      <c r="AM6" s="150">
        <v>305333</v>
      </c>
      <c r="AN6" s="160">
        <v>344415.18</v>
      </c>
      <c r="AO6" s="162">
        <f t="shared" si="30"/>
        <v>39082.179999999993</v>
      </c>
      <c r="AP6" s="163">
        <f t="shared" si="31"/>
        <v>0.12799854584994086</v>
      </c>
      <c r="AQ6" s="31"/>
      <c r="AR6" s="32"/>
      <c r="AS6" s="9" t="str">
        <f t="shared" si="32"/>
        <v>Yuedpao สาขา Central ระยอง</v>
      </c>
      <c r="AT6" s="10">
        <f t="shared" si="33"/>
        <v>1300000</v>
      </c>
      <c r="AU6" s="10">
        <f t="shared" si="34"/>
        <v>1372881.4766355141</v>
      </c>
      <c r="AV6" s="11">
        <f t="shared" si="22"/>
        <v>44286.499246306907</v>
      </c>
      <c r="AW6" s="12">
        <f t="shared" si="23"/>
        <v>1372881.4766355141</v>
      </c>
      <c r="AX6" s="166">
        <f t="shared" si="24"/>
        <v>1.0560626743350108</v>
      </c>
      <c r="AY6" s="124">
        <f t="shared" si="25"/>
        <v>66429.748869460367</v>
      </c>
      <c r="AZ6" s="125">
        <f t="shared" si="26"/>
        <v>1372881.4766355141</v>
      </c>
      <c r="BA6" s="96">
        <f t="shared" si="27"/>
        <v>1.0560626743350108</v>
      </c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</row>
    <row r="7" spans="1:73" s="33" customFormat="1" ht="60" customHeight="1" x14ac:dyDescent="0.15">
      <c r="A7" s="17" t="s">
        <v>128</v>
      </c>
      <c r="B7" s="18">
        <f t="shared" si="35"/>
        <v>642000</v>
      </c>
      <c r="C7" s="19">
        <f>_xlfn.XLOOKUP(A7,'Target ปี 2026'!B:B,'Target ปี 2026'!C:C,0,0)</f>
        <v>600000</v>
      </c>
      <c r="D7" s="19">
        <f t="shared" si="0"/>
        <v>20000</v>
      </c>
      <c r="E7" s="80">
        <f>_xlfn.XLOOKUP(A7,ยอดขายปัจจุบัน!B:B,ยอดขายปัจจุบัน!D:D,0,0)</f>
        <v>708646</v>
      </c>
      <c r="F7" s="80">
        <f t="shared" si="1"/>
        <v>662285.98130841122</v>
      </c>
      <c r="G7" s="80">
        <f>_xlfn.XLOOKUP(A7,ยอดขายปัจจุบัน!B:B,ยอดขายปัจจุบัน!C:C,0,0)</f>
        <v>1519</v>
      </c>
      <c r="H7" s="81">
        <f t="shared" si="2"/>
        <v>466.5213956550362</v>
      </c>
      <c r="I7" s="20">
        <v>450</v>
      </c>
      <c r="J7" s="21">
        <f t="shared" si="3"/>
        <v>3.5414014896012945E-2</v>
      </c>
      <c r="K7" s="22" t="e">
        <f t="shared" si="4"/>
        <v>#DIV/0!</v>
      </c>
      <c r="L7" s="159">
        <f t="shared" si="5"/>
        <v>1.1038099688473519</v>
      </c>
      <c r="M7" s="84"/>
      <c r="N7" s="24">
        <f t="shared" si="6"/>
        <v>-62285.981308411225</v>
      </c>
      <c r="O7" s="23" t="e">
        <f t="shared" si="7"/>
        <v>#DIV/0!</v>
      </c>
      <c r="P7" s="24" t="e">
        <f t="shared" si="8"/>
        <v>#DIV/0!</v>
      </c>
      <c r="Q7" s="24">
        <f t="shared" si="9"/>
        <v>22859.548387096773</v>
      </c>
      <c r="R7" s="24">
        <f t="shared" si="36"/>
        <v>502910.06451612897</v>
      </c>
      <c r="S7" s="25">
        <f t="shared" si="37"/>
        <v>0.8381834408602149</v>
      </c>
      <c r="T7" s="26">
        <f t="shared" si="10"/>
        <v>-68514.579439252353</v>
      </c>
      <c r="U7" s="27" t="e">
        <f t="shared" si="11"/>
        <v>#DIV/0!</v>
      </c>
      <c r="V7" s="27">
        <f t="shared" si="12"/>
        <v>-74743.177570093467</v>
      </c>
      <c r="W7" s="27" t="e">
        <f t="shared" si="13"/>
        <v>#DIV/0!</v>
      </c>
      <c r="X7" s="28">
        <f t="shared" si="14"/>
        <v>4.2866775131320034E-2</v>
      </c>
      <c r="Y7" s="28" t="e">
        <f t="shared" si="15"/>
        <v>#DIV/0!</v>
      </c>
      <c r="Z7" s="29">
        <f>_xlfn.XLOOKUP(A7,ยอดขายปีที่แล้ว!B:B,ยอดขายปีที่แล้ว!D:D,0,0)</f>
        <v>449434.5</v>
      </c>
      <c r="AA7" s="30">
        <f t="shared" si="16"/>
        <v>420032.24299065419</v>
      </c>
      <c r="AB7" s="80">
        <f t="shared" si="17"/>
        <v>662285.98130841122</v>
      </c>
      <c r="AC7" s="34">
        <f t="shared" si="18"/>
        <v>242253.73831775703</v>
      </c>
      <c r="AD7" s="104">
        <f t="shared" si="19"/>
        <v>0.57675033848091328</v>
      </c>
      <c r="AE7" s="29">
        <f>_xlfn.XLOOKUP(A7,ยอดขายเดือนที่เแล้ว!B:B,ยอดขายเดือนที่เแล้ว!D:D,0,0)</f>
        <v>610704.5</v>
      </c>
      <c r="AF7" s="26">
        <f t="shared" si="20"/>
        <v>570751.86915887846</v>
      </c>
      <c r="AG7" s="83">
        <f t="shared" si="21"/>
        <v>662285.98130841122</v>
      </c>
      <c r="AH7" s="148">
        <f t="shared" si="28"/>
        <v>91534.112149532768</v>
      </c>
      <c r="AI7" s="149">
        <f t="shared" si="29"/>
        <v>0.16037461652894333</v>
      </c>
      <c r="AJ7" s="30">
        <v>165756</v>
      </c>
      <c r="AK7" s="30">
        <v>167429</v>
      </c>
      <c r="AL7" s="30">
        <v>163636</v>
      </c>
      <c r="AM7" s="150">
        <v>143769</v>
      </c>
      <c r="AN7" s="160">
        <v>156645</v>
      </c>
      <c r="AO7" s="162">
        <f t="shared" si="30"/>
        <v>12876</v>
      </c>
      <c r="AP7" s="163">
        <f t="shared" si="31"/>
        <v>8.9560336372931579E-2</v>
      </c>
      <c r="AQ7" s="31"/>
      <c r="AR7" s="32"/>
      <c r="AS7" s="9" t="str">
        <f t="shared" si="32"/>
        <v>Yuedpao สาขา Central โคราช</v>
      </c>
      <c r="AT7" s="10">
        <f t="shared" si="33"/>
        <v>600000</v>
      </c>
      <c r="AU7" s="10">
        <f t="shared" si="34"/>
        <v>662285.98130841122</v>
      </c>
      <c r="AV7" s="11">
        <f t="shared" si="22"/>
        <v>21364.063913174556</v>
      </c>
      <c r="AW7" s="12">
        <f t="shared" si="23"/>
        <v>662285.98130841122</v>
      </c>
      <c r="AX7" s="166">
        <f t="shared" si="24"/>
        <v>1.1038099688473519</v>
      </c>
      <c r="AY7" s="124">
        <f t="shared" si="25"/>
        <v>32046.095869761833</v>
      </c>
      <c r="AZ7" s="125">
        <f t="shared" si="26"/>
        <v>662285.98130841122</v>
      </c>
      <c r="BA7" s="96">
        <f t="shared" si="27"/>
        <v>1.1038099688473519</v>
      </c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</row>
    <row r="8" spans="1:73" s="33" customFormat="1" ht="60" customHeight="1" x14ac:dyDescent="0.15">
      <c r="A8" s="17" t="s">
        <v>165</v>
      </c>
      <c r="B8" s="18">
        <f t="shared" si="35"/>
        <v>588500</v>
      </c>
      <c r="C8" s="19">
        <f>_xlfn.XLOOKUP(A8,'Target ปี 2026'!B:B,'Target ปี 2026'!C:C,0,0)</f>
        <v>550000</v>
      </c>
      <c r="D8" s="19">
        <f t="shared" si="0"/>
        <v>18333.333333333332</v>
      </c>
      <c r="E8" s="80">
        <f>_xlfn.XLOOKUP(A8,ยอดขายปัจจุบัน!B:B,ยอดขายปัจจุบัน!D:D,0,0)</f>
        <v>671624.5</v>
      </c>
      <c r="F8" s="80">
        <f t="shared" si="1"/>
        <v>627686.44859813084</v>
      </c>
      <c r="G8" s="80">
        <f>_xlfn.XLOOKUP(A8,ยอดขายปัจจุบัน!B:B,ยอดขายปัจจุบัน!C:C,0,0)</f>
        <v>1321</v>
      </c>
      <c r="H8" s="81">
        <f t="shared" si="2"/>
        <v>508.4212717638153</v>
      </c>
      <c r="I8" s="20">
        <v>330</v>
      </c>
      <c r="J8" s="21">
        <f t="shared" si="3"/>
        <v>0.35093195677048711</v>
      </c>
      <c r="K8" s="22" t="e">
        <f t="shared" si="4"/>
        <v>#DIV/0!</v>
      </c>
      <c r="L8" s="159">
        <f t="shared" si="5"/>
        <v>1.1412480883602378</v>
      </c>
      <c r="M8" s="84"/>
      <c r="N8" s="24">
        <f t="shared" si="6"/>
        <v>-77686.448598130839</v>
      </c>
      <c r="O8" s="23" t="e">
        <f t="shared" si="7"/>
        <v>#DIV/0!</v>
      </c>
      <c r="P8" s="24" t="e">
        <f t="shared" si="8"/>
        <v>#DIV/0!</v>
      </c>
      <c r="Q8" s="24">
        <f t="shared" si="9"/>
        <v>21665.306451612902</v>
      </c>
      <c r="R8" s="24">
        <f t="shared" si="36"/>
        <v>476636.74193548382</v>
      </c>
      <c r="S8" s="25">
        <f t="shared" si="37"/>
        <v>0.86661225806451603</v>
      </c>
      <c r="T8" s="26">
        <f t="shared" si="10"/>
        <v>-85455.093457943934</v>
      </c>
      <c r="U8" s="27" t="e">
        <f t="shared" si="11"/>
        <v>#DIV/0!</v>
      </c>
      <c r="V8" s="27">
        <f t="shared" si="12"/>
        <v>-93223.738317757001</v>
      </c>
      <c r="W8" s="27" t="e">
        <f t="shared" si="13"/>
        <v>#DIV/0!</v>
      </c>
      <c r="X8" s="28">
        <f t="shared" si="14"/>
        <v>4.0627303920695593E-2</v>
      </c>
      <c r="Y8" s="28" t="e">
        <f t="shared" si="15"/>
        <v>#DIV/0!</v>
      </c>
      <c r="Z8" s="29">
        <f>_xlfn.XLOOKUP(A8,ยอดขายปีที่แล้ว!B:B,ยอดขายปีที่แล้ว!D:D,0,0)</f>
        <v>495759</v>
      </c>
      <c r="AA8" s="30">
        <f t="shared" si="16"/>
        <v>463326.16822429909</v>
      </c>
      <c r="AB8" s="80">
        <f t="shared" si="17"/>
        <v>627686.44859813084</v>
      </c>
      <c r="AC8" s="34">
        <f t="shared" si="18"/>
        <v>164360.28037383175</v>
      </c>
      <c r="AD8" s="104">
        <f t="shared" si="19"/>
        <v>0.35473990386457926</v>
      </c>
      <c r="AE8" s="29">
        <f>_xlfn.XLOOKUP(A8,ยอดขายเดือนที่เแล้ว!B:B,ยอดขายเดือนที่เแล้ว!D:D,0,0)</f>
        <v>575938</v>
      </c>
      <c r="AF8" s="26">
        <f t="shared" si="20"/>
        <v>538259.81308411213</v>
      </c>
      <c r="AG8" s="83">
        <f t="shared" si="21"/>
        <v>627686.44859813084</v>
      </c>
      <c r="AH8" s="148">
        <f t="shared" si="28"/>
        <v>89426.635514018708</v>
      </c>
      <c r="AI8" s="149">
        <f t="shared" si="29"/>
        <v>0.16614027898836337</v>
      </c>
      <c r="AJ8" s="30">
        <v>187814</v>
      </c>
      <c r="AK8" s="30">
        <v>148197</v>
      </c>
      <c r="AL8" s="30">
        <v>165771.5</v>
      </c>
      <c r="AM8" s="150">
        <v>129538</v>
      </c>
      <c r="AN8" s="160">
        <v>151774</v>
      </c>
      <c r="AO8" s="162">
        <f t="shared" si="30"/>
        <v>22236</v>
      </c>
      <c r="AP8" s="163">
        <f t="shared" si="31"/>
        <v>0.17165619354938319</v>
      </c>
      <c r="AQ8" s="31"/>
      <c r="AR8" s="32"/>
      <c r="AS8" s="9" t="str">
        <f t="shared" si="32"/>
        <v>Yuedpao สาขา Robinson บุรีรัมย์</v>
      </c>
      <c r="AT8" s="10">
        <f t="shared" si="33"/>
        <v>550000</v>
      </c>
      <c r="AU8" s="10">
        <f t="shared" si="34"/>
        <v>627686.44859813084</v>
      </c>
      <c r="AV8" s="11">
        <f t="shared" si="22"/>
        <v>20247.949954778414</v>
      </c>
      <c r="AW8" s="12">
        <f t="shared" si="23"/>
        <v>627686.44859813084</v>
      </c>
      <c r="AX8" s="166">
        <f t="shared" si="24"/>
        <v>1.1412480883602378</v>
      </c>
      <c r="AY8" s="124">
        <f t="shared" si="25"/>
        <v>30371.924932167622</v>
      </c>
      <c r="AZ8" s="125">
        <f t="shared" si="26"/>
        <v>627686.44859813084</v>
      </c>
      <c r="BA8" s="96">
        <f t="shared" si="27"/>
        <v>1.1412480883602378</v>
      </c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</row>
    <row r="9" spans="1:73" s="33" customFormat="1" ht="60" customHeight="1" x14ac:dyDescent="0.15">
      <c r="A9" s="17" t="s">
        <v>187</v>
      </c>
      <c r="B9" s="18">
        <f t="shared" si="35"/>
        <v>1284000</v>
      </c>
      <c r="C9" s="19">
        <f>_xlfn.XLOOKUP(A9,'Target ปี 2026'!B:B,'Target ปี 2026'!C:C,0,0)</f>
        <v>1200000</v>
      </c>
      <c r="D9" s="19">
        <f t="shared" si="0"/>
        <v>40000</v>
      </c>
      <c r="E9" s="80">
        <f>_xlfn.XLOOKUP(A9,ยอดขายปัจจุบัน!B:B,ยอดขายปัจจุบัน!D:D,0,0)</f>
        <v>1412663.3</v>
      </c>
      <c r="F9" s="80">
        <f t="shared" si="1"/>
        <v>1320246.0747663551</v>
      </c>
      <c r="G9" s="80">
        <f>_xlfn.XLOOKUP(A9,ยอดขายปัจจุบัน!B:B,ยอดขายปัจจุบัน!C:C,0,0)</f>
        <v>3307</v>
      </c>
      <c r="H9" s="81">
        <f t="shared" si="2"/>
        <v>427.17366192924101</v>
      </c>
      <c r="I9" s="20">
        <v>450</v>
      </c>
      <c r="J9" s="35">
        <f t="shared" si="3"/>
        <v>-5.3435733766142288E-2</v>
      </c>
      <c r="K9" s="22" t="e">
        <f t="shared" si="4"/>
        <v>#DIV/0!</v>
      </c>
      <c r="L9" s="159">
        <f t="shared" si="5"/>
        <v>1.1002050623052959</v>
      </c>
      <c r="M9" s="84"/>
      <c r="N9" s="24">
        <f t="shared" si="6"/>
        <v>-120246.0747663551</v>
      </c>
      <c r="O9" s="23" t="e">
        <f t="shared" si="7"/>
        <v>#DIV/0!</v>
      </c>
      <c r="P9" s="24" t="e">
        <f t="shared" si="8"/>
        <v>#DIV/0!</v>
      </c>
      <c r="Q9" s="24">
        <f t="shared" si="9"/>
        <v>45569.783870967745</v>
      </c>
      <c r="R9" s="24">
        <f t="shared" si="36"/>
        <v>1002535.2451612904</v>
      </c>
      <c r="S9" s="25">
        <f t="shared" si="37"/>
        <v>0.83544603763440861</v>
      </c>
      <c r="T9" s="26">
        <f t="shared" si="10"/>
        <v>-132270.68224299062</v>
      </c>
      <c r="U9" s="27" t="e">
        <f t="shared" si="11"/>
        <v>#DIV/0!</v>
      </c>
      <c r="V9" s="27">
        <f t="shared" si="12"/>
        <v>-144295.2897196261</v>
      </c>
      <c r="W9" s="27" t="e">
        <f t="shared" si="13"/>
        <v>#DIV/0!</v>
      </c>
      <c r="X9" s="28">
        <f t="shared" si="14"/>
        <v>8.545355511407457E-2</v>
      </c>
      <c r="Y9" s="28" t="e">
        <f t="shared" si="15"/>
        <v>#DIV/0!</v>
      </c>
      <c r="Z9" s="29">
        <f>_xlfn.XLOOKUP(A9,ยอดขายปีที่แล้ว!B:B,ยอดขายปีที่แล้ว!D:D,0,0)</f>
        <v>1043958</v>
      </c>
      <c r="AA9" s="30">
        <f t="shared" si="16"/>
        <v>975661.6822429907</v>
      </c>
      <c r="AB9" s="80">
        <f t="shared" si="17"/>
        <v>1320246.0747663551</v>
      </c>
      <c r="AC9" s="34">
        <f t="shared" si="18"/>
        <v>344584.3925233644</v>
      </c>
      <c r="AD9" s="104">
        <f t="shared" si="19"/>
        <v>0.35318020456761662</v>
      </c>
      <c r="AE9" s="29">
        <f>_xlfn.XLOOKUP(A9,ยอดขายเดือนที่เแล้ว!B:B,ยอดขายเดือนที่เแล้ว!D:D,0,0)</f>
        <v>1221787.5</v>
      </c>
      <c r="AF9" s="26">
        <f t="shared" si="20"/>
        <v>1141857.4766355141</v>
      </c>
      <c r="AG9" s="83">
        <f t="shared" si="21"/>
        <v>1320246.0747663551</v>
      </c>
      <c r="AH9" s="148">
        <f t="shared" si="28"/>
        <v>178388.59813084104</v>
      </c>
      <c r="AI9" s="149">
        <f t="shared" si="29"/>
        <v>0.15622667607910534</v>
      </c>
      <c r="AJ9" s="30">
        <v>332518</v>
      </c>
      <c r="AK9" s="30">
        <v>343470.3</v>
      </c>
      <c r="AL9" s="30">
        <v>290560</v>
      </c>
      <c r="AM9" s="150">
        <v>317166</v>
      </c>
      <c r="AN9" s="160">
        <v>320292</v>
      </c>
      <c r="AO9" s="162">
        <f t="shared" si="30"/>
        <v>3126</v>
      </c>
      <c r="AP9" s="163">
        <f t="shared" si="31"/>
        <v>9.8560375323962848E-3</v>
      </c>
      <c r="AQ9" s="31" t="s">
        <v>225</v>
      </c>
      <c r="AR9" s="32"/>
      <c r="AS9" s="9" t="str">
        <f t="shared" si="32"/>
        <v>Yuedpao สาขา MAYA เชียงใหม่</v>
      </c>
      <c r="AT9" s="10">
        <f t="shared" si="33"/>
        <v>1200000</v>
      </c>
      <c r="AU9" s="10">
        <f t="shared" si="34"/>
        <v>1320246.0747663551</v>
      </c>
      <c r="AV9" s="11">
        <f t="shared" si="22"/>
        <v>42588.583056979194</v>
      </c>
      <c r="AW9" s="12">
        <f t="shared" si="23"/>
        <v>1320246.0747663551</v>
      </c>
      <c r="AX9" s="166">
        <f t="shared" si="24"/>
        <v>1.1002050623052959</v>
      </c>
      <c r="AY9" s="124">
        <f t="shared" si="25"/>
        <v>63882.874585468788</v>
      </c>
      <c r="AZ9" s="125">
        <f t="shared" si="26"/>
        <v>1320246.0747663551</v>
      </c>
      <c r="BA9" s="96">
        <f t="shared" si="27"/>
        <v>1.1002050623052959</v>
      </c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</row>
    <row r="10" spans="1:73" s="33" customFormat="1" ht="21" customHeight="1" x14ac:dyDescent="0.15">
      <c r="A10" s="103" t="s">
        <v>209</v>
      </c>
      <c r="B10" s="85"/>
      <c r="C10" s="86"/>
      <c r="D10" s="86"/>
      <c r="E10" s="87"/>
      <c r="F10" s="87"/>
      <c r="G10" s="87"/>
      <c r="H10" s="88"/>
      <c r="I10" s="89"/>
      <c r="J10" s="90"/>
      <c r="K10" s="90"/>
      <c r="L10" s="90"/>
      <c r="M10" s="90"/>
      <c r="N10" s="91"/>
      <c r="O10" s="86"/>
      <c r="P10" s="91"/>
      <c r="Q10" s="91"/>
      <c r="R10" s="91"/>
      <c r="S10" s="92"/>
      <c r="T10" s="86"/>
      <c r="U10" s="93"/>
      <c r="V10" s="93"/>
      <c r="W10" s="93"/>
      <c r="X10" s="94"/>
      <c r="Y10" s="94"/>
      <c r="Z10" s="86"/>
      <c r="AA10" s="87"/>
      <c r="AB10" s="87"/>
      <c r="AC10" s="87"/>
      <c r="AD10" s="87"/>
      <c r="AE10" s="87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95"/>
      <c r="AR10" s="32"/>
      <c r="AS10" s="146" t="s">
        <v>209</v>
      </c>
      <c r="AT10" s="97"/>
      <c r="AU10" s="97"/>
      <c r="AV10" s="98"/>
      <c r="AW10" s="99"/>
      <c r="AX10" s="99"/>
      <c r="AY10" s="126"/>
      <c r="AZ10" s="126"/>
      <c r="BA10" s="126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</row>
    <row r="11" spans="1:73" s="33" customFormat="1" ht="60" customHeight="1" x14ac:dyDescent="0.15">
      <c r="A11" s="17" t="s">
        <v>49</v>
      </c>
      <c r="B11" s="18">
        <f>(C11*7)/100+C11</f>
        <v>2247000</v>
      </c>
      <c r="C11" s="19">
        <f>_xlfn.XLOOKUP(A11,'Target ปี 2026'!B:B,'Target ปี 2026'!C:C,0,0)</f>
        <v>2100000</v>
      </c>
      <c r="D11" s="19">
        <f t="shared" ref="D11:D16" si="40">C11/30</f>
        <v>70000</v>
      </c>
      <c r="E11" s="80">
        <f>_xlfn.XLOOKUP(A11,ยอดขายปัจจุบัน!B:B,ยอดขายปัจจุบัน!D:D,0,0)</f>
        <v>2377971</v>
      </c>
      <c r="F11" s="80">
        <f t="shared" ref="F11:F16" si="41">E11*100/107</f>
        <v>2222402.8037383179</v>
      </c>
      <c r="G11" s="80">
        <f>_xlfn.XLOOKUP(A11,ยอดขายปัจจุบัน!B:B,ยอดขายปัจจุบัน!C:C,0,0)</f>
        <v>4688</v>
      </c>
      <c r="H11" s="81">
        <f t="shared" ref="H11:H16" si="42">E11/G11</f>
        <v>507.24637372013655</v>
      </c>
      <c r="I11" s="20">
        <v>400</v>
      </c>
      <c r="J11" s="21">
        <f t="shared" ref="J11:J22" si="43">(H11-I11)/H11</f>
        <v>0.21142856662255347</v>
      </c>
      <c r="K11" s="22" t="e">
        <f t="shared" ref="K11:K19" si="44">(E11-C11)/$E$37</f>
        <v>#DIV/0!</v>
      </c>
      <c r="L11" s="159">
        <f t="shared" si="5"/>
        <v>1.0582870493991989</v>
      </c>
      <c r="M11" s="82"/>
      <c r="N11" s="24">
        <f t="shared" ref="N11:N16" si="45">C11-F11</f>
        <v>-122402.80373831792</v>
      </c>
      <c r="O11" s="23" t="e">
        <f t="shared" ref="O11:O20" si="46">N11/$E$37</f>
        <v>#DIV/0!</v>
      </c>
      <c r="P11" s="24" t="e">
        <f t="shared" ref="P11:P19" si="47">SUM(N11/$E$37)</f>
        <v>#DIV/0!</v>
      </c>
      <c r="Q11" s="24">
        <f t="shared" ref="Q11:Q19" si="48">E11/$D$37</f>
        <v>76708.741935483864</v>
      </c>
      <c r="R11" s="24">
        <f t="shared" ref="R11:R16" si="49">Q11*22</f>
        <v>1687592.3225806451</v>
      </c>
      <c r="S11" s="25">
        <f t="shared" ref="S11:S16" si="50">R11/C11</f>
        <v>0.80361539170506913</v>
      </c>
      <c r="T11" s="26">
        <f t="shared" ref="T11:T16" si="51">(C11-F11)*110%</f>
        <v>-134643.08411214972</v>
      </c>
      <c r="U11" s="27" t="e">
        <f t="shared" ref="U11:U20" si="52">T11/$E$37</f>
        <v>#DIV/0!</v>
      </c>
      <c r="V11" s="27">
        <f t="shared" ref="V11:V16" si="53">(C11-F11)*120%</f>
        <v>-146883.3644859815</v>
      </c>
      <c r="W11" s="27" t="e">
        <f t="shared" ref="W11:W20" si="54">SUM(V11/$E$37)</f>
        <v>#DIV/0!</v>
      </c>
      <c r="X11" s="28">
        <f t="shared" ref="X11:X19" si="55">E11/$E$22</f>
        <v>0.14384607847331421</v>
      </c>
      <c r="Y11" s="28" t="e">
        <f t="shared" ref="Y11:Y19" si="56">E11/$H$37</f>
        <v>#DIV/0!</v>
      </c>
      <c r="Z11" s="29">
        <f>_xlfn.XLOOKUP(A11,ยอดขายปีที่แล้ว!B:B,ยอดขายปีที่แล้ว!D:D,0,0)</f>
        <v>1894324.5</v>
      </c>
      <c r="AA11" s="30">
        <f t="shared" ref="AA11:AA19" si="57">Z11*100/107</f>
        <v>1770396.7289719626</v>
      </c>
      <c r="AB11" s="80">
        <f t="shared" ref="AB11:AB16" si="58">F11</f>
        <v>2222402.8037383179</v>
      </c>
      <c r="AC11" s="34">
        <f t="shared" ref="AC11" si="59">AB11-AA11</f>
        <v>452006.07476635533</v>
      </c>
      <c r="AD11" s="104">
        <f t="shared" ref="AD11" si="60">(AB11-AA11)/AA11</f>
        <v>0.25531343758685493</v>
      </c>
      <c r="AE11" s="29">
        <f>_xlfn.XLOOKUP(A11,ยอดขายเดือนที่เแล้ว!B:B,ยอดขายเดือนที่เแล้ว!D:D,0,0)</f>
        <v>1807232</v>
      </c>
      <c r="AF11" s="26">
        <f t="shared" ref="AF11:AF16" si="61">AE11*100/107</f>
        <v>1689001.8691588785</v>
      </c>
      <c r="AG11" s="83">
        <f t="shared" ref="AG11:AG16" si="62">F11</f>
        <v>2222402.8037383179</v>
      </c>
      <c r="AH11" s="148">
        <f t="shared" si="28"/>
        <v>533400.93457943946</v>
      </c>
      <c r="AI11" s="149">
        <f t="shared" si="29"/>
        <v>0.3158083743537079</v>
      </c>
      <c r="AJ11" s="30">
        <v>528581</v>
      </c>
      <c r="AK11" s="30">
        <v>590485</v>
      </c>
      <c r="AL11" s="30">
        <v>487752</v>
      </c>
      <c r="AM11" s="150">
        <v>467492</v>
      </c>
      <c r="AN11" s="160">
        <v>571608</v>
      </c>
      <c r="AO11" s="162">
        <f t="shared" si="30"/>
        <v>104116</v>
      </c>
      <c r="AP11" s="163">
        <f t="shared" si="31"/>
        <v>0.22271183250194657</v>
      </c>
      <c r="AQ11" s="31" t="s">
        <v>260</v>
      </c>
      <c r="AR11" s="32"/>
      <c r="AS11" s="9" t="str">
        <f>A11</f>
        <v>Yuedpao สาขา Future Park Rangsit ชั้น 3</v>
      </c>
      <c r="AT11" s="10">
        <f>C11</f>
        <v>2100000</v>
      </c>
      <c r="AU11" s="10">
        <f>F11</f>
        <v>2222402.8037383179</v>
      </c>
      <c r="AV11" s="11">
        <f t="shared" ref="AV11:AV20" si="63">AU11/$D$37</f>
        <v>71690.413023816713</v>
      </c>
      <c r="AW11" s="12">
        <f t="shared" ref="AW11:AW19" si="64">(AV11*$E$37)+AU11</f>
        <v>2222402.8037383179</v>
      </c>
      <c r="AX11" s="167">
        <f t="shared" ref="AX11:AX19" si="65">AW11/AT11</f>
        <v>1.0582870493991989</v>
      </c>
      <c r="AY11" s="124">
        <f t="shared" si="25"/>
        <v>107535.61953572507</v>
      </c>
      <c r="AZ11" s="125">
        <f t="shared" ref="AZ11:AZ19" si="66">(AY11*$E$37)+AU11</f>
        <v>2222402.8037383179</v>
      </c>
      <c r="BA11" s="96">
        <f t="shared" si="27"/>
        <v>1.0582870493991989</v>
      </c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</row>
    <row r="12" spans="1:73" s="33" customFormat="1" ht="60" customHeight="1" x14ac:dyDescent="0.15">
      <c r="A12" s="17" t="s">
        <v>38</v>
      </c>
      <c r="B12" s="18">
        <f t="shared" ref="B12:B13" si="67">(C12*7)/100+C12</f>
        <v>535000</v>
      </c>
      <c r="C12" s="19">
        <f>_xlfn.XLOOKUP(A12,'Target ปี 2026'!B:B,'Target ปี 2026'!C:C,0,0)</f>
        <v>500000</v>
      </c>
      <c r="D12" s="19">
        <f t="shared" si="40"/>
        <v>16666.666666666668</v>
      </c>
      <c r="E12" s="80">
        <f>_xlfn.XLOOKUP(A12,ยอดขายปัจจุบัน!B:B,ยอดขายปัจจุบัน!D:D,0,0)</f>
        <v>432844</v>
      </c>
      <c r="F12" s="80">
        <f t="shared" si="41"/>
        <v>404527.10280373832</v>
      </c>
      <c r="G12" s="80">
        <f>_xlfn.XLOOKUP(A12,ยอดขายปัจจุบัน!B:B,ยอดขายปัจจุบัน!C:C,0,0)</f>
        <v>938</v>
      </c>
      <c r="H12" s="81">
        <f t="shared" ref="H12" si="68">E12/G12</f>
        <v>461.45415778251601</v>
      </c>
      <c r="I12" s="20">
        <v>401</v>
      </c>
      <c r="J12" s="21">
        <f t="shared" ref="J12" si="69">(H12-I12)/H12</f>
        <v>0.13100793819482309</v>
      </c>
      <c r="K12" s="22" t="e">
        <f t="shared" si="44"/>
        <v>#DIV/0!</v>
      </c>
      <c r="L12" s="102">
        <f t="shared" si="5"/>
        <v>0.80905420560747665</v>
      </c>
      <c r="M12" s="82"/>
      <c r="N12" s="24">
        <f t="shared" si="45"/>
        <v>95472.897196261678</v>
      </c>
      <c r="O12" s="23" t="e">
        <f t="shared" si="46"/>
        <v>#DIV/0!</v>
      </c>
      <c r="P12" s="24" t="e">
        <f t="shared" si="47"/>
        <v>#DIV/0!</v>
      </c>
      <c r="Q12" s="24">
        <f t="shared" si="48"/>
        <v>13962.709677419354</v>
      </c>
      <c r="R12" s="24">
        <f t="shared" si="49"/>
        <v>307179.61290322582</v>
      </c>
      <c r="S12" s="25">
        <f t="shared" si="50"/>
        <v>0.61435922580645164</v>
      </c>
      <c r="T12" s="26">
        <f t="shared" si="51"/>
        <v>105020.18691588785</v>
      </c>
      <c r="U12" s="27" t="e">
        <f t="shared" si="52"/>
        <v>#DIV/0!</v>
      </c>
      <c r="V12" s="27">
        <f t="shared" si="53"/>
        <v>114567.47663551402</v>
      </c>
      <c r="W12" s="27" t="e">
        <f t="shared" si="54"/>
        <v>#DIV/0!</v>
      </c>
      <c r="X12" s="28">
        <f t="shared" si="55"/>
        <v>2.6183209126899875E-2</v>
      </c>
      <c r="Y12" s="28" t="e">
        <f t="shared" si="56"/>
        <v>#DIV/0!</v>
      </c>
      <c r="Z12" s="29">
        <v>461050</v>
      </c>
      <c r="AA12" s="30">
        <f t="shared" si="57"/>
        <v>430887.85046728974</v>
      </c>
      <c r="AB12" s="80">
        <f t="shared" si="58"/>
        <v>404527.10280373832</v>
      </c>
      <c r="AC12" s="34">
        <f t="shared" ref="AC12" si="70">AB12-AA12</f>
        <v>-26360.747663551418</v>
      </c>
      <c r="AD12" s="104">
        <f t="shared" ref="AD12" si="71">(AB12-AA12)/AA12</f>
        <v>-6.1177746448324508E-2</v>
      </c>
      <c r="AE12" s="29">
        <f>_xlfn.XLOOKUP(A12,ยอดขายเดือนที่เแล้ว!B:B,ยอดขายเดือนที่เแล้ว!D:D,0,0)</f>
        <v>1159000.5</v>
      </c>
      <c r="AF12" s="26">
        <f>Z12</f>
        <v>461050</v>
      </c>
      <c r="AG12" s="83">
        <f t="shared" si="62"/>
        <v>404527.10280373832</v>
      </c>
      <c r="AH12" s="151">
        <f t="shared" si="28"/>
        <v>-56522.897196261678</v>
      </c>
      <c r="AI12" s="149">
        <f t="shared" si="29"/>
        <v>-0.12259602471806025</v>
      </c>
      <c r="AJ12" s="30">
        <v>312550</v>
      </c>
      <c r="AK12" s="30">
        <v>256592</v>
      </c>
      <c r="AL12" s="30">
        <v>112210</v>
      </c>
      <c r="AM12" s="150">
        <v>0</v>
      </c>
      <c r="AN12" s="160">
        <v>0</v>
      </c>
      <c r="AO12" s="162">
        <f t="shared" si="30"/>
        <v>0</v>
      </c>
      <c r="AP12" s="163" t="e">
        <f t="shared" si="31"/>
        <v>#DIV/0!</v>
      </c>
      <c r="AQ12" s="31" t="s">
        <v>436</v>
      </c>
      <c r="AR12" s="32"/>
      <c r="AS12" s="9" t="str">
        <f t="shared" ref="AS12:AS20" si="72">A12</f>
        <v>Yuedpao สาขา Central Festival เชียงใหม่</v>
      </c>
      <c r="AT12" s="10">
        <f t="shared" ref="AT12:AT19" si="73">C12</f>
        <v>500000</v>
      </c>
      <c r="AU12" s="10">
        <f t="shared" ref="AU12:AU19" si="74">F12</f>
        <v>404527.10280373832</v>
      </c>
      <c r="AV12" s="11">
        <f t="shared" si="63"/>
        <v>13049.261380765753</v>
      </c>
      <c r="AW12" s="12">
        <f t="shared" si="64"/>
        <v>404527.10280373832</v>
      </c>
      <c r="AX12" s="131">
        <f t="shared" si="65"/>
        <v>0.80905420560747665</v>
      </c>
      <c r="AY12" s="124">
        <f t="shared" si="25"/>
        <v>19573.892071148628</v>
      </c>
      <c r="AZ12" s="125">
        <f t="shared" si="66"/>
        <v>404527.10280373832</v>
      </c>
      <c r="BA12" s="96">
        <f t="shared" si="27"/>
        <v>0.80905420560747665</v>
      </c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</row>
    <row r="13" spans="1:73" s="33" customFormat="1" ht="60" customHeight="1" x14ac:dyDescent="0.15">
      <c r="A13" s="17" t="s">
        <v>51</v>
      </c>
      <c r="B13" s="18">
        <f t="shared" si="67"/>
        <v>749000</v>
      </c>
      <c r="C13" s="19">
        <f>_xlfn.XLOOKUP(A13,'Target ปี 2026'!B:B,'Target ปี 2026'!C:C,0,0)</f>
        <v>700000</v>
      </c>
      <c r="D13" s="19">
        <f t="shared" si="40"/>
        <v>23333.333333333332</v>
      </c>
      <c r="E13" s="80">
        <f>_xlfn.XLOOKUP(A13,ยอดขายปัจจุบัน!B:B,ยอดขายปัจจุบัน!D:D,0,0)</f>
        <v>859124</v>
      </c>
      <c r="F13" s="80">
        <f t="shared" si="41"/>
        <v>802919.62616822426</v>
      </c>
      <c r="G13" s="80">
        <f>_xlfn.XLOOKUP(A13,ยอดขายปัจจุบัน!B:B,ยอดขายปัจจุบัน!C:C,0,0)</f>
        <v>1560</v>
      </c>
      <c r="H13" s="81">
        <f t="shared" ref="H13" si="75">E13/G13</f>
        <v>550.72051282051279</v>
      </c>
      <c r="I13" s="20">
        <v>401</v>
      </c>
      <c r="J13" s="21">
        <f t="shared" ref="J13" si="76">(H13-I13)/H13</f>
        <v>0.27186296739469501</v>
      </c>
      <c r="K13" s="22" t="e">
        <f t="shared" si="44"/>
        <v>#DIV/0!</v>
      </c>
      <c r="L13" s="159">
        <f t="shared" si="5"/>
        <v>1.1470280373831776</v>
      </c>
      <c r="M13" s="82"/>
      <c r="N13" s="24">
        <f t="shared" si="45"/>
        <v>-102919.62616822426</v>
      </c>
      <c r="O13" s="23" t="e">
        <f t="shared" si="46"/>
        <v>#DIV/0!</v>
      </c>
      <c r="P13" s="24" t="e">
        <f t="shared" si="47"/>
        <v>#DIV/0!</v>
      </c>
      <c r="Q13" s="24">
        <f t="shared" si="48"/>
        <v>27713.677419354837</v>
      </c>
      <c r="R13" s="24">
        <f t="shared" si="49"/>
        <v>609700.90322580643</v>
      </c>
      <c r="S13" s="25">
        <f t="shared" si="50"/>
        <v>0.87100129032258056</v>
      </c>
      <c r="T13" s="26">
        <f t="shared" si="51"/>
        <v>-113211.5887850467</v>
      </c>
      <c r="U13" s="27" t="e">
        <f t="shared" si="52"/>
        <v>#DIV/0!</v>
      </c>
      <c r="V13" s="27">
        <f t="shared" si="53"/>
        <v>-123503.5514018691</v>
      </c>
      <c r="W13" s="27" t="e">
        <f t="shared" si="54"/>
        <v>#DIV/0!</v>
      </c>
      <c r="X13" s="28">
        <f t="shared" si="55"/>
        <v>5.1969354681914791E-2</v>
      </c>
      <c r="Y13" s="28" t="e">
        <f t="shared" si="56"/>
        <v>#DIV/0!</v>
      </c>
      <c r="Z13" s="29">
        <f>_xlfn.XLOOKUP(A13,ยอดขายปีที่แล้ว!B:B,ยอดขายปีที่แล้ว!D:D,0,0)</f>
        <v>682375</v>
      </c>
      <c r="AA13" s="30">
        <f t="shared" si="57"/>
        <v>637733.64485981304</v>
      </c>
      <c r="AB13" s="80">
        <f t="shared" si="58"/>
        <v>802919.62616822426</v>
      </c>
      <c r="AC13" s="34">
        <f t="shared" ref="AC13" si="77">AB13-AA13</f>
        <v>165185.98130841122</v>
      </c>
      <c r="AD13" s="104">
        <f t="shared" ref="AD13" si="78">(AB13-AA13)/AA13</f>
        <v>0.25902033339439462</v>
      </c>
      <c r="AE13" s="29">
        <f>_xlfn.XLOOKUP(A13,ยอดขายเดือนที่เแล้ว!B:B,ยอดขายเดือนที่เแล้ว!D:D,0,0)</f>
        <v>691868</v>
      </c>
      <c r="AF13" s="26">
        <f t="shared" si="61"/>
        <v>646605.60747663549</v>
      </c>
      <c r="AG13" s="83">
        <f t="shared" si="62"/>
        <v>802919.62616822426</v>
      </c>
      <c r="AH13" s="148">
        <f t="shared" si="28"/>
        <v>156314.01869158878</v>
      </c>
      <c r="AI13" s="149">
        <f t="shared" si="29"/>
        <v>0.24174553527551498</v>
      </c>
      <c r="AJ13" s="30">
        <v>216852</v>
      </c>
      <c r="AK13" s="30">
        <v>191130</v>
      </c>
      <c r="AL13" s="30">
        <v>179450</v>
      </c>
      <c r="AM13" s="150">
        <v>201684</v>
      </c>
      <c r="AN13" s="160">
        <v>191844</v>
      </c>
      <c r="AO13" s="144">
        <f t="shared" si="30"/>
        <v>-9840</v>
      </c>
      <c r="AP13" s="135">
        <f t="shared" si="31"/>
        <v>-4.8789194978282859E-2</v>
      </c>
      <c r="AQ13" s="31" t="s">
        <v>265</v>
      </c>
      <c r="AR13" s="32"/>
      <c r="AS13" s="9" t="str">
        <f t="shared" si="72"/>
        <v>Yuedpao สาขา Central พัทยา</v>
      </c>
      <c r="AT13" s="10">
        <f t="shared" si="73"/>
        <v>700000</v>
      </c>
      <c r="AU13" s="10">
        <f t="shared" si="74"/>
        <v>802919.62616822426</v>
      </c>
      <c r="AV13" s="11">
        <f t="shared" si="63"/>
        <v>25900.633102200783</v>
      </c>
      <c r="AW13" s="12">
        <f t="shared" si="64"/>
        <v>802919.62616822426</v>
      </c>
      <c r="AX13" s="166">
        <f t="shared" si="65"/>
        <v>1.1470280373831776</v>
      </c>
      <c r="AY13" s="124">
        <f t="shared" si="25"/>
        <v>38850.949653301177</v>
      </c>
      <c r="AZ13" s="125">
        <f t="shared" si="66"/>
        <v>802919.62616822426</v>
      </c>
      <c r="BA13" s="96">
        <f t="shared" si="27"/>
        <v>1.1470280373831776</v>
      </c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</row>
    <row r="14" spans="1:73" s="33" customFormat="1" ht="60" customHeight="1" x14ac:dyDescent="0.15">
      <c r="A14" s="17" t="s">
        <v>81</v>
      </c>
      <c r="B14" s="18">
        <f>(C14*7)/100+C14</f>
        <v>1819000</v>
      </c>
      <c r="C14" s="19">
        <f>_xlfn.XLOOKUP(A14,'Target ปี 2026'!B:B,'Target ปี 2026'!C:C,0,0)</f>
        <v>1700000</v>
      </c>
      <c r="D14" s="19">
        <f t="shared" si="40"/>
        <v>56666.666666666664</v>
      </c>
      <c r="E14" s="80">
        <f>_xlfn.XLOOKUP(A14,ยอดขายปัจจุบัน!B:B,ยอดขายปัจจุบัน!D:D,0,0)</f>
        <v>1886188</v>
      </c>
      <c r="F14" s="80">
        <f t="shared" si="41"/>
        <v>1762792.5233644859</v>
      </c>
      <c r="G14" s="80">
        <f>_xlfn.XLOOKUP(A14,ยอดขายปัจจุบัน!B:B,ยอดขายปัจจุบัน!C:C,0,0)</f>
        <v>4166</v>
      </c>
      <c r="H14" s="81">
        <f t="shared" si="42"/>
        <v>452.75756120979355</v>
      </c>
      <c r="I14" s="20">
        <v>450</v>
      </c>
      <c r="J14" s="21">
        <f t="shared" si="43"/>
        <v>6.0905911817909627E-3</v>
      </c>
      <c r="K14" s="22" t="e">
        <f t="shared" si="44"/>
        <v>#DIV/0!</v>
      </c>
      <c r="L14" s="159">
        <f t="shared" si="5"/>
        <v>1.0369367784496977</v>
      </c>
      <c r="M14" s="100"/>
      <c r="N14" s="24">
        <f t="shared" si="45"/>
        <v>-62792.52336448594</v>
      </c>
      <c r="O14" s="23" t="e">
        <f t="shared" si="46"/>
        <v>#DIV/0!</v>
      </c>
      <c r="P14" s="24" t="e">
        <f t="shared" si="47"/>
        <v>#DIV/0!</v>
      </c>
      <c r="Q14" s="24">
        <f t="shared" si="48"/>
        <v>60844.774193548386</v>
      </c>
      <c r="R14" s="24">
        <f t="shared" si="49"/>
        <v>1338585.0322580645</v>
      </c>
      <c r="S14" s="25">
        <f t="shared" si="50"/>
        <v>0.78740296015180267</v>
      </c>
      <c r="T14" s="26">
        <f t="shared" si="51"/>
        <v>-69071.775700934537</v>
      </c>
      <c r="U14" s="27" t="e">
        <f t="shared" si="52"/>
        <v>#DIV/0!</v>
      </c>
      <c r="V14" s="27">
        <f t="shared" si="53"/>
        <v>-75351.028037383119</v>
      </c>
      <c r="W14" s="27" t="e">
        <f t="shared" si="54"/>
        <v>#DIV/0!</v>
      </c>
      <c r="X14" s="28">
        <f t="shared" si="55"/>
        <v>0.11409758447997205</v>
      </c>
      <c r="Y14" s="28" t="e">
        <f t="shared" si="56"/>
        <v>#DIV/0!</v>
      </c>
      <c r="Z14" s="29">
        <f>_xlfn.XLOOKUP(A14,ยอดขายปีที่แล้ว!B:B,ยอดขายปีที่แล้ว!D:D,0,0)</f>
        <v>934152</v>
      </c>
      <c r="AA14" s="30">
        <f t="shared" si="57"/>
        <v>873039.25233644864</v>
      </c>
      <c r="AB14" s="80">
        <f t="shared" si="58"/>
        <v>1762792.5233644859</v>
      </c>
      <c r="AC14" s="34">
        <f t="shared" ref="AC14:AC16" si="79">AB14-AA14</f>
        <v>889753.2710280373</v>
      </c>
      <c r="AD14" s="104">
        <f t="shared" ref="AD14:AD16" si="80">(AB14-AA14)/AA14</f>
        <v>1.0191446359907166</v>
      </c>
      <c r="AE14" s="29">
        <f>_xlfn.XLOOKUP(A14,ยอดขายเดือนที่เแล้ว!B:B,ยอดขายเดือนที่เแล้ว!D:D,0,0)</f>
        <v>1737483.5</v>
      </c>
      <c r="AF14" s="26">
        <f t="shared" si="61"/>
        <v>1623816.3551401868</v>
      </c>
      <c r="AG14" s="83">
        <f t="shared" si="62"/>
        <v>1762792.5233644859</v>
      </c>
      <c r="AH14" s="155">
        <f t="shared" si="28"/>
        <v>138976.16822429909</v>
      </c>
      <c r="AI14" s="149">
        <f t="shared" si="29"/>
        <v>8.5586136501440174E-2</v>
      </c>
      <c r="AJ14" s="30">
        <v>495445</v>
      </c>
      <c r="AK14" s="30">
        <v>480557</v>
      </c>
      <c r="AL14" s="30">
        <v>371116</v>
      </c>
      <c r="AM14" s="150">
        <v>428285</v>
      </c>
      <c r="AN14" s="160">
        <v>425156</v>
      </c>
      <c r="AO14" s="144">
        <f t="shared" si="30"/>
        <v>-3129</v>
      </c>
      <c r="AP14" s="135">
        <f t="shared" si="31"/>
        <v>-7.3058827649812629E-3</v>
      </c>
      <c r="AQ14" s="31" t="s">
        <v>264</v>
      </c>
      <c r="AR14" s="32"/>
      <c r="AS14" s="9" t="str">
        <f t="shared" si="72"/>
        <v>Yuedpao สาขา Central ปิ่นเกล้า</v>
      </c>
      <c r="AT14" s="10">
        <f t="shared" si="73"/>
        <v>1700000</v>
      </c>
      <c r="AU14" s="10">
        <f t="shared" si="74"/>
        <v>1762792.5233644859</v>
      </c>
      <c r="AV14" s="11">
        <f t="shared" si="63"/>
        <v>56864.27494724148</v>
      </c>
      <c r="AW14" s="12">
        <f t="shared" si="64"/>
        <v>1762792.5233644859</v>
      </c>
      <c r="AX14" s="167">
        <f t="shared" si="65"/>
        <v>1.0369367784496977</v>
      </c>
      <c r="AY14" s="124">
        <f t="shared" si="25"/>
        <v>85296.412420862223</v>
      </c>
      <c r="AZ14" s="125">
        <f t="shared" si="66"/>
        <v>1762792.5233644859</v>
      </c>
      <c r="BA14" s="96">
        <f t="shared" si="27"/>
        <v>1.0369367784496977</v>
      </c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</row>
    <row r="15" spans="1:73" s="33" customFormat="1" ht="60" customHeight="1" x14ac:dyDescent="0.15">
      <c r="A15" s="17" t="s">
        <v>198</v>
      </c>
      <c r="B15" s="18">
        <f>(C15*7)/100+C15</f>
        <v>428000</v>
      </c>
      <c r="C15" s="19">
        <f>_xlfn.XLOOKUP(A15,'Target ปี 2026'!B:B,'Target ปี 2026'!C:C,0,0)</f>
        <v>400000</v>
      </c>
      <c r="D15" s="19">
        <f t="shared" si="40"/>
        <v>13333.333333333334</v>
      </c>
      <c r="E15" s="80">
        <f>_xlfn.XLOOKUP(A15,ยอดขายปัจจุบัน!B:B,ยอดขายปัจจุบัน!D:D,0,0)</f>
        <v>323459</v>
      </c>
      <c r="F15" s="80">
        <f t="shared" si="41"/>
        <v>302298.13084112148</v>
      </c>
      <c r="G15" s="80">
        <f>_xlfn.XLOOKUP(A15,ยอดขายปัจจุบัน!B:B,ยอดขายปัจจุบัน!C:C,0,0)</f>
        <v>741</v>
      </c>
      <c r="H15" s="81">
        <f t="shared" si="42"/>
        <v>436.51686909581645</v>
      </c>
      <c r="I15" s="20">
        <v>430</v>
      </c>
      <c r="J15" s="21">
        <f t="shared" si="43"/>
        <v>1.4929249147496241E-2</v>
      </c>
      <c r="K15" s="22" t="e">
        <f t="shared" si="44"/>
        <v>#DIV/0!</v>
      </c>
      <c r="L15" s="102">
        <f t="shared" si="5"/>
        <v>0.75574532710280373</v>
      </c>
      <c r="M15" s="84"/>
      <c r="N15" s="24">
        <f t="shared" si="45"/>
        <v>97701.869158878515</v>
      </c>
      <c r="O15" s="23" t="e">
        <f t="shared" si="46"/>
        <v>#DIV/0!</v>
      </c>
      <c r="P15" s="24" t="e">
        <f t="shared" si="47"/>
        <v>#DIV/0!</v>
      </c>
      <c r="Q15" s="24">
        <f t="shared" si="48"/>
        <v>10434.161290322581</v>
      </c>
      <c r="R15" s="24">
        <f t="shared" si="49"/>
        <v>229551.54838709679</v>
      </c>
      <c r="S15" s="25">
        <f t="shared" si="50"/>
        <v>0.57387887096774193</v>
      </c>
      <c r="T15" s="26">
        <f t="shared" si="51"/>
        <v>107472.05607476637</v>
      </c>
      <c r="U15" s="27" t="e">
        <f t="shared" si="52"/>
        <v>#DIV/0!</v>
      </c>
      <c r="V15" s="27">
        <f t="shared" si="53"/>
        <v>117242.24299065421</v>
      </c>
      <c r="W15" s="27" t="e">
        <f t="shared" si="54"/>
        <v>#DIV/0!</v>
      </c>
      <c r="X15" s="28">
        <f t="shared" si="55"/>
        <v>1.9566390295297859E-2</v>
      </c>
      <c r="Y15" s="28" t="e">
        <f t="shared" si="56"/>
        <v>#DIV/0!</v>
      </c>
      <c r="Z15" s="29">
        <f>_xlfn.XLOOKUP(A15,ยอดขายปีที่แล้ว!B:B,ยอดขายปีที่แล้ว!D:D,0,0)</f>
        <v>0</v>
      </c>
      <c r="AA15" s="30">
        <f t="shared" si="57"/>
        <v>0</v>
      </c>
      <c r="AB15" s="80">
        <f t="shared" si="58"/>
        <v>302298.13084112148</v>
      </c>
      <c r="AC15" s="34">
        <f t="shared" si="79"/>
        <v>302298.13084112148</v>
      </c>
      <c r="AD15" s="104" t="e">
        <f t="shared" si="80"/>
        <v>#DIV/0!</v>
      </c>
      <c r="AE15" s="29">
        <f>_xlfn.XLOOKUP(A15,ยอดขายเดือนที่เแล้ว!B:B,ยอดขายเดือนที่เแล้ว!D:D,0,0)</f>
        <v>396760.54</v>
      </c>
      <c r="AF15" s="26">
        <f t="shared" si="61"/>
        <v>370804.24299065419</v>
      </c>
      <c r="AG15" s="83">
        <f t="shared" si="62"/>
        <v>302298.13084112148</v>
      </c>
      <c r="AH15" s="151">
        <f t="shared" si="28"/>
        <v>-68506.11214953271</v>
      </c>
      <c r="AI15" s="149">
        <f t="shared" si="29"/>
        <v>-0.18475007620465483</v>
      </c>
      <c r="AJ15" s="30">
        <v>84540</v>
      </c>
      <c r="AK15" s="30">
        <v>95997</v>
      </c>
      <c r="AL15" s="30">
        <v>66004</v>
      </c>
      <c r="AM15" s="150">
        <v>54702</v>
      </c>
      <c r="AN15" s="160">
        <v>67841</v>
      </c>
      <c r="AO15" s="162">
        <f t="shared" si="30"/>
        <v>13139</v>
      </c>
      <c r="AP15" s="163">
        <f t="shared" si="31"/>
        <v>0.24019231472341049</v>
      </c>
      <c r="AQ15" s="136" t="s">
        <v>262</v>
      </c>
      <c r="AR15" s="32"/>
      <c r="AS15" s="9" t="str">
        <f t="shared" si="72"/>
        <v>Yuedpao สาขา I am China Town</v>
      </c>
      <c r="AT15" s="10">
        <f t="shared" si="73"/>
        <v>400000</v>
      </c>
      <c r="AU15" s="10">
        <f t="shared" si="74"/>
        <v>302298.13084112148</v>
      </c>
      <c r="AV15" s="11">
        <f t="shared" si="63"/>
        <v>9751.5526077781124</v>
      </c>
      <c r="AW15" s="12">
        <f t="shared" si="64"/>
        <v>302298.13084112148</v>
      </c>
      <c r="AX15" s="96">
        <f t="shared" si="65"/>
        <v>0.75574532710280373</v>
      </c>
      <c r="AY15" s="124">
        <f t="shared" si="25"/>
        <v>14627.328911667169</v>
      </c>
      <c r="AZ15" s="125">
        <f t="shared" si="66"/>
        <v>302298.13084112148</v>
      </c>
      <c r="BA15" s="96">
        <f t="shared" si="27"/>
        <v>0.75574532710280373</v>
      </c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</row>
    <row r="16" spans="1:73" s="33" customFormat="1" ht="60" customHeight="1" x14ac:dyDescent="0.15">
      <c r="A16" s="17" t="s">
        <v>211</v>
      </c>
      <c r="B16" s="18">
        <f t="shared" ref="B16:B20" si="81">(C16*7)/100+C16</f>
        <v>1016500</v>
      </c>
      <c r="C16" s="19">
        <f>_xlfn.XLOOKUP(A16,'Target ปี 2026'!B:B,'Target ปี 2026'!C:C,0,0)</f>
        <v>950000</v>
      </c>
      <c r="D16" s="19">
        <f t="shared" si="40"/>
        <v>31666.666666666668</v>
      </c>
      <c r="E16" s="80">
        <f>_xlfn.XLOOKUP(A16,ยอดขายปัจจุบัน!B:B,ยอดขายปัจจุบัน!D:D,0,0)</f>
        <v>1075263</v>
      </c>
      <c r="F16" s="80">
        <f t="shared" si="41"/>
        <v>1004918.691588785</v>
      </c>
      <c r="G16" s="80">
        <f>_xlfn.XLOOKUP(A16,ยอดขายปัจจุบัน!B:B,ยอดขายปัจจุบัน!C:C,0,0)</f>
        <v>2387</v>
      </c>
      <c r="H16" s="81">
        <f t="shared" si="42"/>
        <v>450.46627565982402</v>
      </c>
      <c r="I16" s="20">
        <v>430</v>
      </c>
      <c r="J16" s="21">
        <f>(H16-I16)/H16</f>
        <v>4.5433535795428595E-2</v>
      </c>
      <c r="K16" s="22" t="e">
        <f t="shared" si="44"/>
        <v>#DIV/0!</v>
      </c>
      <c r="L16" s="159">
        <f t="shared" si="5"/>
        <v>1.0578091490408263</v>
      </c>
      <c r="M16" s="84"/>
      <c r="N16" s="24">
        <f t="shared" si="45"/>
        <v>-54918.691588785034</v>
      </c>
      <c r="O16" s="23" t="e">
        <f t="shared" si="46"/>
        <v>#DIV/0!</v>
      </c>
      <c r="P16" s="24" t="e">
        <f t="shared" si="47"/>
        <v>#DIV/0!</v>
      </c>
      <c r="Q16" s="24">
        <f t="shared" si="48"/>
        <v>34685.903225806454</v>
      </c>
      <c r="R16" s="24">
        <f t="shared" si="49"/>
        <v>763089.87096774206</v>
      </c>
      <c r="S16" s="25">
        <f t="shared" si="50"/>
        <v>0.80325249575551794</v>
      </c>
      <c r="T16" s="26">
        <f t="shared" si="51"/>
        <v>-60410.560747663541</v>
      </c>
      <c r="U16" s="27" t="e">
        <f t="shared" si="52"/>
        <v>#DIV/0!</v>
      </c>
      <c r="V16" s="27">
        <f t="shared" si="53"/>
        <v>-65902.429906542035</v>
      </c>
      <c r="W16" s="27" t="e">
        <f t="shared" si="54"/>
        <v>#DIV/0!</v>
      </c>
      <c r="X16" s="28">
        <f t="shared" si="55"/>
        <v>6.5043840264431843E-2</v>
      </c>
      <c r="Y16" s="28" t="e">
        <f t="shared" si="56"/>
        <v>#DIV/0!</v>
      </c>
      <c r="Z16" s="29">
        <f>_xlfn.XLOOKUP(A16,ยอดขายปีที่แล้ว!B:B,ยอดขายปีที่แล้ว!D:D,0,0)</f>
        <v>0</v>
      </c>
      <c r="AA16" s="30">
        <f t="shared" si="57"/>
        <v>0</v>
      </c>
      <c r="AB16" s="80">
        <f t="shared" si="58"/>
        <v>1004918.691588785</v>
      </c>
      <c r="AC16" s="34">
        <f t="shared" si="79"/>
        <v>1004918.691588785</v>
      </c>
      <c r="AD16" s="104" t="e">
        <f t="shared" si="80"/>
        <v>#DIV/0!</v>
      </c>
      <c r="AE16" s="29">
        <f>_xlfn.XLOOKUP(A16,ยอดขายเดือนที่เแล้ว!B:B,ยอดขายเดือนที่เแล้ว!D:D,0,0)</f>
        <v>920696.51</v>
      </c>
      <c r="AF16" s="26">
        <f t="shared" si="61"/>
        <v>860464.02803738322</v>
      </c>
      <c r="AG16" s="83">
        <f t="shared" si="62"/>
        <v>1004918.691588785</v>
      </c>
      <c r="AH16" s="155">
        <f t="shared" si="28"/>
        <v>144454.66355140181</v>
      </c>
      <c r="AI16" s="149">
        <f t="shared" si="29"/>
        <v>0.16787995644732046</v>
      </c>
      <c r="AJ16" s="30">
        <v>230972</v>
      </c>
      <c r="AK16" s="30">
        <v>264505</v>
      </c>
      <c r="AL16" s="30">
        <v>209378</v>
      </c>
      <c r="AM16" s="150">
        <v>212332</v>
      </c>
      <c r="AN16" s="160">
        <v>264448</v>
      </c>
      <c r="AO16" s="162">
        <f t="shared" si="30"/>
        <v>52116</v>
      </c>
      <c r="AP16" s="163">
        <f t="shared" si="31"/>
        <v>0.24544581127667991</v>
      </c>
      <c r="AQ16" s="136" t="s">
        <v>259</v>
      </c>
      <c r="AR16" s="32"/>
      <c r="AS16" s="9" t="str">
        <f t="shared" si="72"/>
        <v>Yuedpao สาขา Robinson ชลบุรี</v>
      </c>
      <c r="AT16" s="10">
        <f t="shared" si="73"/>
        <v>950000</v>
      </c>
      <c r="AU16" s="10">
        <f t="shared" si="74"/>
        <v>1004918.691588785</v>
      </c>
      <c r="AV16" s="11">
        <f t="shared" si="63"/>
        <v>32416.731986735002</v>
      </c>
      <c r="AW16" s="12">
        <f t="shared" si="64"/>
        <v>1004918.691588785</v>
      </c>
      <c r="AX16" s="166">
        <f t="shared" si="65"/>
        <v>1.0578091490408263</v>
      </c>
      <c r="AY16" s="124">
        <f t="shared" si="25"/>
        <v>48625.097980102502</v>
      </c>
      <c r="AZ16" s="125">
        <f t="shared" si="66"/>
        <v>1004918.691588785</v>
      </c>
      <c r="BA16" s="96">
        <f t="shared" si="27"/>
        <v>1.0578091490408263</v>
      </c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</row>
    <row r="17" spans="1:73" s="33" customFormat="1" ht="60" customHeight="1" x14ac:dyDescent="0.15">
      <c r="A17" s="134" t="s">
        <v>241</v>
      </c>
      <c r="B17" s="18">
        <f t="shared" si="81"/>
        <v>535000</v>
      </c>
      <c r="C17" s="19">
        <f>_xlfn.XLOOKUP(A17,'Target ปี 2026'!B:B,'Target ปี 2026'!C:C,0,0)</f>
        <v>500000</v>
      </c>
      <c r="D17" s="19">
        <f t="shared" ref="D17:D20" si="82">C17/30</f>
        <v>16666.666666666668</v>
      </c>
      <c r="E17" s="80">
        <f>_xlfn.XLOOKUP(A17,ยอดขายปัจจุบัน!B:B,ยอดขายปัจจุบัน!D:D,0,0)</f>
        <v>375125</v>
      </c>
      <c r="F17" s="80">
        <f t="shared" ref="F17:F19" si="83">E17*100/107</f>
        <v>350584.11214953271</v>
      </c>
      <c r="G17" s="80">
        <f>_xlfn.XLOOKUP(A17,ยอดขายปัจจุบัน!B:B,ยอดขายปัจจุบัน!C:C,0,0)</f>
        <v>764</v>
      </c>
      <c r="H17" s="81">
        <f t="shared" ref="H17:H19" si="84">E17/G17</f>
        <v>491.00130890052355</v>
      </c>
      <c r="I17" s="20">
        <v>431</v>
      </c>
      <c r="J17" s="21">
        <f t="shared" ref="J17:J19" si="85">(H17-I17)/H17</f>
        <v>0.12220193268910362</v>
      </c>
      <c r="K17" s="22" t="e">
        <f t="shared" si="44"/>
        <v>#DIV/0!</v>
      </c>
      <c r="L17" s="102">
        <f t="shared" si="5"/>
        <v>0.70116822429906545</v>
      </c>
      <c r="M17" s="84"/>
      <c r="N17" s="24">
        <f t="shared" ref="N17:N19" si="86">C17-F17</f>
        <v>149415.88785046729</v>
      </c>
      <c r="O17" s="23" t="e">
        <f t="shared" si="46"/>
        <v>#DIV/0!</v>
      </c>
      <c r="P17" s="24" t="e">
        <f t="shared" si="47"/>
        <v>#DIV/0!</v>
      </c>
      <c r="Q17" s="24">
        <f t="shared" si="48"/>
        <v>12100.806451612903</v>
      </c>
      <c r="R17" s="24">
        <f t="shared" ref="R17:R19" si="87">Q17*22</f>
        <v>266217.74193548388</v>
      </c>
      <c r="S17" s="25">
        <f t="shared" ref="S17:S19" si="88">R17/C17</f>
        <v>0.53243548387096773</v>
      </c>
      <c r="T17" s="26">
        <f t="shared" ref="T17:T19" si="89">(C17-F17)*110%</f>
        <v>164357.47663551403</v>
      </c>
      <c r="U17" s="27" t="e">
        <f t="shared" si="52"/>
        <v>#DIV/0!</v>
      </c>
      <c r="V17" s="27">
        <f t="shared" ref="V17:V19" si="90">(C17-F17)*120%</f>
        <v>179299.06542056074</v>
      </c>
      <c r="W17" s="27" t="e">
        <f t="shared" si="54"/>
        <v>#DIV/0!</v>
      </c>
      <c r="X17" s="28">
        <f t="shared" si="55"/>
        <v>2.2691723400874945E-2</v>
      </c>
      <c r="Y17" s="28" t="e">
        <f t="shared" si="56"/>
        <v>#DIV/0!</v>
      </c>
      <c r="Z17" s="29">
        <f>_xlfn.XLOOKUP(A17,ยอดขายปีที่แล้ว!B:B,ยอดขายปีที่แล้ว!D:D,0,0)</f>
        <v>0</v>
      </c>
      <c r="AA17" s="30">
        <f t="shared" si="57"/>
        <v>0</v>
      </c>
      <c r="AB17" s="80">
        <f t="shared" ref="AB17:AB19" si="91">F17</f>
        <v>350584.11214953271</v>
      </c>
      <c r="AC17" s="34">
        <f t="shared" ref="AC17:AC19" si="92">AB17-AA17</f>
        <v>350584.11214953271</v>
      </c>
      <c r="AD17" s="104" t="e">
        <f t="shared" ref="AD17:AD19" si="93">(AB17-AA17)/AA17</f>
        <v>#DIV/0!</v>
      </c>
      <c r="AE17" s="29">
        <f>_xlfn.XLOOKUP(A17,ยอดขายเดือนที่เแล้ว!B:B,ยอดขายเดือนที่เแล้ว!D:D,0,0)</f>
        <v>384029.5</v>
      </c>
      <c r="AF17" s="26">
        <f t="shared" ref="AF17:AF19" si="94">AE17*100/107</f>
        <v>358906.07476635516</v>
      </c>
      <c r="AG17" s="83">
        <f t="shared" ref="AG17:AG19" si="95">F17</f>
        <v>350584.11214953271</v>
      </c>
      <c r="AH17" s="151">
        <f t="shared" si="28"/>
        <v>-8321.9626168224495</v>
      </c>
      <c r="AI17" s="149">
        <f t="shared" si="29"/>
        <v>-2.3187020788767582E-2</v>
      </c>
      <c r="AJ17" s="30">
        <v>76512</v>
      </c>
      <c r="AK17" s="30">
        <v>94926</v>
      </c>
      <c r="AL17" s="30">
        <v>85240</v>
      </c>
      <c r="AM17" s="150">
        <v>69716</v>
      </c>
      <c r="AN17" s="160">
        <v>88927</v>
      </c>
      <c r="AO17" s="162">
        <f t="shared" si="30"/>
        <v>19211</v>
      </c>
      <c r="AP17" s="163">
        <f t="shared" si="31"/>
        <v>0.27556084686442139</v>
      </c>
      <c r="AQ17" s="136" t="s">
        <v>263</v>
      </c>
      <c r="AR17" s="32"/>
      <c r="AS17" s="9" t="str">
        <f t="shared" si="72"/>
        <v>Yuedpao สาขา Big C อำนาจเจริญ</v>
      </c>
      <c r="AT17" s="10">
        <f t="shared" si="73"/>
        <v>500000</v>
      </c>
      <c r="AU17" s="10">
        <f t="shared" si="74"/>
        <v>350584.11214953271</v>
      </c>
      <c r="AV17" s="11">
        <f t="shared" si="63"/>
        <v>11309.164908049443</v>
      </c>
      <c r="AW17" s="12">
        <f t="shared" si="64"/>
        <v>350584.11214953271</v>
      </c>
      <c r="AX17" s="131">
        <f t="shared" si="65"/>
        <v>0.70116822429906545</v>
      </c>
      <c r="AY17" s="124">
        <f t="shared" si="25"/>
        <v>16963.747362074166</v>
      </c>
      <c r="AZ17" s="125">
        <f t="shared" si="66"/>
        <v>350584.11214953271</v>
      </c>
      <c r="BA17" s="96">
        <f t="shared" si="27"/>
        <v>0.70116822429906545</v>
      </c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</row>
    <row r="18" spans="1:73" s="33" customFormat="1" ht="60" customHeight="1" x14ac:dyDescent="0.15">
      <c r="A18" s="134" t="s">
        <v>239</v>
      </c>
      <c r="B18" s="18">
        <f t="shared" si="81"/>
        <v>1016500</v>
      </c>
      <c r="C18" s="19">
        <f>_xlfn.XLOOKUP(A18,'Target ปี 2026'!B:B,'Target ปี 2026'!C:C,0,0)</f>
        <v>950000</v>
      </c>
      <c r="D18" s="19">
        <f t="shared" si="82"/>
        <v>31666.666666666668</v>
      </c>
      <c r="E18" s="80">
        <f>_xlfn.XLOOKUP(A18,ยอดขายปัจจุบัน!B:B,ยอดขายปัจจุบัน!D:D,0,0)</f>
        <v>956875.38</v>
      </c>
      <c r="F18" s="80">
        <f t="shared" si="83"/>
        <v>894276.05607476633</v>
      </c>
      <c r="G18" s="80">
        <f>_xlfn.XLOOKUP(A18,ยอดขายปัจจุบัน!B:B,ยอดขายปัจจุบัน!C:C,0,0)</f>
        <v>1700</v>
      </c>
      <c r="H18" s="81">
        <f t="shared" si="84"/>
        <v>562.86787058823529</v>
      </c>
      <c r="I18" s="20">
        <v>432</v>
      </c>
      <c r="J18" s="21">
        <f t="shared" si="85"/>
        <v>0.23250193771314295</v>
      </c>
      <c r="K18" s="22" t="e">
        <f t="shared" si="44"/>
        <v>#DIV/0!</v>
      </c>
      <c r="L18" s="102">
        <f t="shared" si="5"/>
        <v>0.94134321692080669</v>
      </c>
      <c r="M18" s="84"/>
      <c r="N18" s="24">
        <f t="shared" si="86"/>
        <v>55723.943925233674</v>
      </c>
      <c r="O18" s="23" t="e">
        <f t="shared" si="46"/>
        <v>#DIV/0!</v>
      </c>
      <c r="P18" s="24" t="e">
        <f t="shared" si="47"/>
        <v>#DIV/0!</v>
      </c>
      <c r="Q18" s="24">
        <f t="shared" si="48"/>
        <v>30866.947741935484</v>
      </c>
      <c r="R18" s="24">
        <f t="shared" si="87"/>
        <v>679072.85032258066</v>
      </c>
      <c r="S18" s="25">
        <f t="shared" si="88"/>
        <v>0.71481352665534803</v>
      </c>
      <c r="T18" s="26">
        <f t="shared" si="89"/>
        <v>61296.338317757043</v>
      </c>
      <c r="U18" s="27" t="e">
        <f t="shared" si="52"/>
        <v>#DIV/0!</v>
      </c>
      <c r="V18" s="27">
        <f t="shared" si="90"/>
        <v>66868.732710280412</v>
      </c>
      <c r="W18" s="27" t="e">
        <f t="shared" si="54"/>
        <v>#DIV/0!</v>
      </c>
      <c r="X18" s="28">
        <f t="shared" si="55"/>
        <v>5.788244305782634E-2</v>
      </c>
      <c r="Y18" s="28" t="e">
        <f t="shared" si="56"/>
        <v>#DIV/0!</v>
      </c>
      <c r="Z18" s="29">
        <f>_xlfn.XLOOKUP(A18,ยอดขายปีที่แล้ว!B:B,ยอดขายปีที่แล้ว!D:D,0,0)</f>
        <v>0</v>
      </c>
      <c r="AA18" s="30">
        <f t="shared" si="57"/>
        <v>0</v>
      </c>
      <c r="AB18" s="80">
        <f t="shared" si="91"/>
        <v>894276.05607476633</v>
      </c>
      <c r="AC18" s="34">
        <f t="shared" si="92"/>
        <v>894276.05607476633</v>
      </c>
      <c r="AD18" s="104" t="e">
        <f t="shared" si="93"/>
        <v>#DIV/0!</v>
      </c>
      <c r="AE18" s="29">
        <f>_xlfn.XLOOKUP(A18,ยอดขายเดือนที่เแล้ว!B:B,ยอดขายเดือนที่เแล้ว!D:D,0,0)</f>
        <v>770581</v>
      </c>
      <c r="AF18" s="26">
        <f t="shared" si="94"/>
        <v>720169.15887850465</v>
      </c>
      <c r="AG18" s="83">
        <f t="shared" si="95"/>
        <v>894276.05607476633</v>
      </c>
      <c r="AH18" s="148">
        <f t="shared" si="28"/>
        <v>174106.89719626168</v>
      </c>
      <c r="AI18" s="149">
        <f t="shared" si="29"/>
        <v>0.24175833559353269</v>
      </c>
      <c r="AJ18" s="30">
        <v>199509.5</v>
      </c>
      <c r="AK18" s="30">
        <v>265957</v>
      </c>
      <c r="AL18" s="30">
        <v>178275</v>
      </c>
      <c r="AM18" s="150">
        <v>190847.38</v>
      </c>
      <c r="AN18" s="160">
        <v>229403</v>
      </c>
      <c r="AO18" s="162">
        <f t="shared" si="30"/>
        <v>38555.619999999995</v>
      </c>
      <c r="AP18" s="163">
        <f t="shared" si="31"/>
        <v>0.20202331307875432</v>
      </c>
      <c r="AQ18" s="136" t="s">
        <v>240</v>
      </c>
      <c r="AR18" s="32"/>
      <c r="AS18" s="9" t="str">
        <f t="shared" si="72"/>
        <v>Yuedpao สาขา Robinson แม่สอด</v>
      </c>
      <c r="AT18" s="10">
        <f t="shared" si="73"/>
        <v>950000</v>
      </c>
      <c r="AU18" s="10">
        <f t="shared" si="74"/>
        <v>894276.05607476633</v>
      </c>
      <c r="AV18" s="11">
        <f t="shared" si="63"/>
        <v>28847.614712089235</v>
      </c>
      <c r="AW18" s="12">
        <f t="shared" si="64"/>
        <v>894276.05607476633</v>
      </c>
      <c r="AX18" s="131">
        <f t="shared" si="65"/>
        <v>0.94134321692080669</v>
      </c>
      <c r="AY18" s="124">
        <f t="shared" si="25"/>
        <v>43271.422068133848</v>
      </c>
      <c r="AZ18" s="125">
        <f t="shared" si="66"/>
        <v>894276.05607476633</v>
      </c>
      <c r="BA18" s="96">
        <f t="shared" si="27"/>
        <v>0.94134321692080669</v>
      </c>
      <c r="BB18" s="32"/>
      <c r="BC18" s="32"/>
      <c r="BD18" s="32"/>
      <c r="BE18" s="32"/>
      <c r="BF18" s="32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32"/>
      <c r="BU18" s="32"/>
    </row>
    <row r="19" spans="1:73" s="33" customFormat="1" ht="60" customHeight="1" x14ac:dyDescent="0.15">
      <c r="A19" s="134" t="s">
        <v>248</v>
      </c>
      <c r="B19" s="18">
        <f t="shared" si="81"/>
        <v>963000</v>
      </c>
      <c r="C19" s="19">
        <f>_xlfn.XLOOKUP(A19,'Target ปี 2026'!B:B,'Target ปี 2026'!C:C,0,0)</f>
        <v>900000</v>
      </c>
      <c r="D19" s="19">
        <f t="shared" si="82"/>
        <v>30000</v>
      </c>
      <c r="E19" s="80">
        <f>_xlfn.XLOOKUP(A19,ยอดขายปัจจุบัน!B:B,ยอดขายปัจจุบัน!D:D,0,0)</f>
        <v>817052</v>
      </c>
      <c r="F19" s="80">
        <f t="shared" si="83"/>
        <v>763600</v>
      </c>
      <c r="G19" s="80">
        <f>_xlfn.XLOOKUP(A19,ยอดขายปัจจุบัน!B:B,ยอดขายปัจจุบัน!C:C,0,0)</f>
        <v>1765</v>
      </c>
      <c r="H19" s="81">
        <f t="shared" si="84"/>
        <v>462.91898016997169</v>
      </c>
      <c r="I19" s="20">
        <v>433</v>
      </c>
      <c r="J19" s="21">
        <f t="shared" si="85"/>
        <v>6.4631137308274175E-2</v>
      </c>
      <c r="K19" s="22" t="e">
        <f t="shared" si="44"/>
        <v>#DIV/0!</v>
      </c>
      <c r="L19" s="102">
        <f t="shared" si="5"/>
        <v>0.84844444444444445</v>
      </c>
      <c r="M19" s="84"/>
      <c r="N19" s="24">
        <f t="shared" si="86"/>
        <v>136400</v>
      </c>
      <c r="O19" s="23" t="e">
        <f t="shared" si="46"/>
        <v>#DIV/0!</v>
      </c>
      <c r="P19" s="24" t="e">
        <f t="shared" si="47"/>
        <v>#DIV/0!</v>
      </c>
      <c r="Q19" s="24">
        <f t="shared" si="48"/>
        <v>26356.516129032258</v>
      </c>
      <c r="R19" s="24">
        <f t="shared" si="87"/>
        <v>579843.3548387097</v>
      </c>
      <c r="S19" s="25">
        <f t="shared" si="88"/>
        <v>0.64427039426523303</v>
      </c>
      <c r="T19" s="26">
        <f t="shared" si="89"/>
        <v>150040</v>
      </c>
      <c r="U19" s="27" t="e">
        <f t="shared" si="52"/>
        <v>#DIV/0!</v>
      </c>
      <c r="V19" s="27">
        <f t="shared" si="90"/>
        <v>163680</v>
      </c>
      <c r="W19" s="27" t="e">
        <f t="shared" si="54"/>
        <v>#DIV/0!</v>
      </c>
      <c r="X19" s="28">
        <f t="shared" si="55"/>
        <v>4.9424373177292043E-2</v>
      </c>
      <c r="Y19" s="28" t="e">
        <f t="shared" si="56"/>
        <v>#DIV/0!</v>
      </c>
      <c r="Z19" s="29">
        <f>_xlfn.XLOOKUP(A19,ยอดขายปีที่แล้ว!B:B,ยอดขายปีที่แล้ว!D:D,0,0)</f>
        <v>0</v>
      </c>
      <c r="AA19" s="30">
        <f t="shared" si="57"/>
        <v>0</v>
      </c>
      <c r="AB19" s="80">
        <f t="shared" si="91"/>
        <v>763600</v>
      </c>
      <c r="AC19" s="34">
        <f t="shared" si="92"/>
        <v>763600</v>
      </c>
      <c r="AD19" s="104" t="e">
        <f t="shared" si="93"/>
        <v>#DIV/0!</v>
      </c>
      <c r="AE19" s="29">
        <f>_xlfn.XLOOKUP(A19,ยอดขายเดือนที่เแล้ว!B:B,ยอดขายเดือนที่เแล้ว!D:D,0,0)</f>
        <v>780394</v>
      </c>
      <c r="AF19" s="26">
        <f t="shared" si="94"/>
        <v>729340.18691588787</v>
      </c>
      <c r="AG19" s="83">
        <f t="shared" si="95"/>
        <v>763600</v>
      </c>
      <c r="AH19" s="148">
        <f t="shared" si="28"/>
        <v>34259.813084112131</v>
      </c>
      <c r="AI19" s="149">
        <f t="shared" si="29"/>
        <v>4.697370815254856E-2</v>
      </c>
      <c r="AJ19" s="30">
        <v>210532</v>
      </c>
      <c r="AK19" s="30">
        <v>181442</v>
      </c>
      <c r="AL19" s="30">
        <v>188309</v>
      </c>
      <c r="AM19" s="150">
        <v>147705</v>
      </c>
      <c r="AN19" s="160">
        <v>203008</v>
      </c>
      <c r="AO19" s="162">
        <f t="shared" si="30"/>
        <v>55303</v>
      </c>
      <c r="AP19" s="163">
        <f t="shared" si="31"/>
        <v>0.37441521952540535</v>
      </c>
      <c r="AQ19" s="136" t="s">
        <v>261</v>
      </c>
      <c r="AR19" s="32"/>
      <c r="AS19" s="9" t="str">
        <f t="shared" si="72"/>
        <v>Yuedpao สาขา Sermthai Complex มหาสารคาม</v>
      </c>
      <c r="AT19" s="10">
        <f t="shared" si="73"/>
        <v>900000</v>
      </c>
      <c r="AU19" s="10">
        <f t="shared" si="74"/>
        <v>763600</v>
      </c>
      <c r="AV19" s="11">
        <f t="shared" si="63"/>
        <v>24632.258064516129</v>
      </c>
      <c r="AW19" s="12">
        <f t="shared" si="64"/>
        <v>763600</v>
      </c>
      <c r="AX19" s="131">
        <f t="shared" si="65"/>
        <v>0.84844444444444445</v>
      </c>
      <c r="AY19" s="124">
        <f t="shared" si="25"/>
        <v>36948.387096774197</v>
      </c>
      <c r="AZ19" s="125">
        <f t="shared" si="66"/>
        <v>763600</v>
      </c>
      <c r="BA19" s="96">
        <f t="shared" si="27"/>
        <v>0.84844444444444445</v>
      </c>
      <c r="BB19" s="32"/>
      <c r="BC19" s="32"/>
      <c r="BD19" s="32"/>
      <c r="BE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</row>
    <row r="20" spans="1:73" s="33" customFormat="1" ht="60" customHeight="1" x14ac:dyDescent="0.15">
      <c r="A20" s="134" t="s">
        <v>327</v>
      </c>
      <c r="B20" s="18">
        <f t="shared" si="81"/>
        <v>1070000</v>
      </c>
      <c r="C20" s="19">
        <f>_xlfn.XLOOKUP(A20,'Target ปี 2026'!B:B,'Target ปี 2026'!C:C,0,0)</f>
        <v>1000000</v>
      </c>
      <c r="D20" s="19">
        <f t="shared" si="82"/>
        <v>33333.333333333336</v>
      </c>
      <c r="E20" s="80">
        <f>_xlfn.XLOOKUP(A20,ยอดขายปัจจุบัน!B:B,ยอดขายปัจจุบัน!D:D,0,0)</f>
        <v>682874.99999999988</v>
      </c>
      <c r="F20" s="80">
        <f t="shared" ref="F20" si="96">E20*100/107</f>
        <v>638200.93457943911</v>
      </c>
      <c r="G20" s="80">
        <f>_xlfn.XLOOKUP(A20,ยอดขายปัจจุบัน!B:B,ยอดขายปัจจุบัน!C:C,0,0)</f>
        <v>1376</v>
      </c>
      <c r="H20" s="81">
        <f t="shared" ref="H20" si="97">E20/G20</f>
        <v>496.27543604651152</v>
      </c>
      <c r="I20" s="20">
        <v>434</v>
      </c>
      <c r="J20" s="21">
        <f t="shared" ref="J20" si="98">(H20-I20)/H20</f>
        <v>0.12548563060589399</v>
      </c>
      <c r="K20" s="22" t="e">
        <f t="shared" ref="K20" si="99">(E20-C20)/$E$37</f>
        <v>#DIV/0!</v>
      </c>
      <c r="L20" s="102">
        <f t="shared" ref="L20" si="100">F20/C20</f>
        <v>0.63820093457943916</v>
      </c>
      <c r="M20" s="84"/>
      <c r="N20" s="24">
        <f t="shared" ref="N20" si="101">C20-F20</f>
        <v>361799.06542056089</v>
      </c>
      <c r="O20" s="23" t="e">
        <f t="shared" si="46"/>
        <v>#DIV/0!</v>
      </c>
      <c r="P20" s="24" t="e">
        <f t="shared" ref="P20" si="102">SUM(N20/$E$37)</f>
        <v>#DIV/0!</v>
      </c>
      <c r="Q20" s="24">
        <f t="shared" ref="Q20" si="103">E20/$D$37</f>
        <v>22028.22580645161</v>
      </c>
      <c r="R20" s="24">
        <f t="shared" ref="R20" si="104">Q20*22</f>
        <v>484620.9677419354</v>
      </c>
      <c r="S20" s="25">
        <f t="shared" ref="S20" si="105">R20/C20</f>
        <v>0.48462096774193542</v>
      </c>
      <c r="T20" s="26">
        <f t="shared" ref="T20" si="106">(C20-F20)*110%</f>
        <v>397978.97196261701</v>
      </c>
      <c r="U20" s="27" t="e">
        <f t="shared" si="52"/>
        <v>#DIV/0!</v>
      </c>
      <c r="V20" s="27">
        <f t="shared" ref="V20" si="107">(C20-F20)*120%</f>
        <v>434158.87850467308</v>
      </c>
      <c r="W20" s="27" t="e">
        <f t="shared" si="54"/>
        <v>#DIV/0!</v>
      </c>
      <c r="X20" s="28">
        <f t="shared" ref="X20" si="108">E20/$E$22</f>
        <v>4.1307859026651052E-2</v>
      </c>
      <c r="Y20" s="28" t="e">
        <f t="shared" ref="Y20" si="109">E20/$H$37</f>
        <v>#DIV/0!</v>
      </c>
      <c r="Z20" s="29">
        <f>_xlfn.XLOOKUP(A20,ยอดขายปีที่แล้ว!B:B,ยอดขายปีที่แล้ว!D:D,0,0)</f>
        <v>0</v>
      </c>
      <c r="AA20" s="30">
        <f t="shared" ref="AA20" si="110">Z20*100/107</f>
        <v>0</v>
      </c>
      <c r="AB20" s="80">
        <f t="shared" ref="AB20" si="111">F20</f>
        <v>638200.93457943911</v>
      </c>
      <c r="AC20" s="34">
        <f t="shared" ref="AC20" si="112">AB20-AA20</f>
        <v>638200.93457943911</v>
      </c>
      <c r="AD20" s="104" t="e">
        <f t="shared" ref="AD20" si="113">(AB20-AA20)/AA20</f>
        <v>#DIV/0!</v>
      </c>
      <c r="AE20" s="29">
        <f>_xlfn.XLOOKUP(A20,ยอดขายเดือนที่เแล้ว!B:B,ยอดขายเดือนที่เแล้ว!D:D,0,0)</f>
        <v>0</v>
      </c>
      <c r="AF20" s="26">
        <f t="shared" ref="AF20" si="114">AE20*100/107</f>
        <v>0</v>
      </c>
      <c r="AG20" s="83">
        <f t="shared" ref="AG20" si="115">F20</f>
        <v>638200.93457943911</v>
      </c>
      <c r="AH20" s="155">
        <f t="shared" ref="AH20" si="116">AG20-AF20</f>
        <v>638200.93457943911</v>
      </c>
      <c r="AI20" s="156" t="e">
        <f t="shared" ref="AI20" si="117">(AG20-AF20)/AF20</f>
        <v>#DIV/0!</v>
      </c>
      <c r="AJ20" s="30">
        <v>0</v>
      </c>
      <c r="AK20" s="30">
        <v>0</v>
      </c>
      <c r="AL20" s="30">
        <v>0</v>
      </c>
      <c r="AM20" s="30">
        <v>343501</v>
      </c>
      <c r="AN20" s="161">
        <v>277832</v>
      </c>
      <c r="AO20" s="144">
        <f t="shared" si="30"/>
        <v>-65669</v>
      </c>
      <c r="AP20" s="135">
        <f t="shared" si="31"/>
        <v>-0.19117557154127646</v>
      </c>
      <c r="AQ20" s="157" t="s">
        <v>328</v>
      </c>
      <c r="AR20" s="32"/>
      <c r="AS20" s="9" t="str">
        <f t="shared" si="72"/>
        <v>Yuedpao สาขา Robinson กำแพงเพชร</v>
      </c>
      <c r="AT20" s="10">
        <f t="shared" ref="AT20" si="118">C20</f>
        <v>1000000</v>
      </c>
      <c r="AU20" s="10">
        <f t="shared" ref="AU20" si="119">F20</f>
        <v>638200.93457943911</v>
      </c>
      <c r="AV20" s="11">
        <f t="shared" si="63"/>
        <v>20587.126921917392</v>
      </c>
      <c r="AW20" s="12">
        <f t="shared" ref="AW20" si="120">(AV20*$E$37)+AU20</f>
        <v>638200.93457943911</v>
      </c>
      <c r="AX20" s="131">
        <f t="shared" ref="AX20" si="121">AW20/AT20</f>
        <v>0.63820093457943916</v>
      </c>
      <c r="AY20" s="124">
        <f t="shared" ref="AY20" si="122">(AV20*50%)+AV20</f>
        <v>30880.690382876088</v>
      </c>
      <c r="AZ20" s="125">
        <f t="shared" ref="AZ20" si="123">(AY20*$E$37)+AU20</f>
        <v>638200.93457943911</v>
      </c>
      <c r="BA20" s="96">
        <f t="shared" ref="BA20" si="124">AZ20/AT20</f>
        <v>0.63820093457943916</v>
      </c>
      <c r="BB20" s="32"/>
      <c r="BC20" s="32"/>
      <c r="BD20" s="32"/>
      <c r="BE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</row>
    <row r="21" spans="1:73" s="33" customFormat="1" ht="69" customHeight="1" x14ac:dyDescent="0.15">
      <c r="A21" s="36" t="s">
        <v>200</v>
      </c>
      <c r="B21" s="37"/>
      <c r="C21" s="38">
        <f>SUM(C3:C19)</f>
        <v>15400000</v>
      </c>
      <c r="D21" s="38">
        <f>SUM(D3:D19)</f>
        <v>513333.33333333343</v>
      </c>
      <c r="E21" s="38">
        <f>SUM(E3:E19)</f>
        <v>16531357.860000001</v>
      </c>
      <c r="F21" s="38">
        <f>SUM(F3:F19)</f>
        <v>15449867.158878507</v>
      </c>
      <c r="G21" s="38">
        <f t="shared" ref="G21" si="125">SUM(G3:G20)</f>
        <v>35112</v>
      </c>
      <c r="H21" s="39">
        <f>SUM(H2:H18)/17</f>
        <v>435.54291517700489</v>
      </c>
      <c r="I21" s="38">
        <v>423</v>
      </c>
      <c r="J21" s="40">
        <f t="shared" si="43"/>
        <v>2.8798345099718677E-2</v>
      </c>
      <c r="K21" s="40" t="e">
        <f>(E21-C21)/$E$37</f>
        <v>#DIV/0!</v>
      </c>
      <c r="L21" s="41">
        <f t="shared" ref="L21" si="126">F21/C21</f>
        <v>1.0032381271999031</v>
      </c>
      <c r="M21" s="41"/>
      <c r="N21" s="48">
        <f>SUM(N3:N16)</f>
        <v>-391406.99065420561</v>
      </c>
      <c r="O21" s="38" t="e">
        <f>SUM(O3:O15)</f>
        <v>#DIV/0!</v>
      </c>
      <c r="P21" s="38" t="e">
        <f>SUM(N21/$E$37)</f>
        <v>#DIV/0!</v>
      </c>
      <c r="Q21" s="38">
        <f t="shared" ref="Q21:W21" si="127">SUM(Q3:Q9)</f>
        <v>239595.37032258068</v>
      </c>
      <c r="R21" s="38">
        <f t="shared" si="127"/>
        <v>5271098.1470967745</v>
      </c>
      <c r="S21" s="38">
        <f t="shared" si="127"/>
        <v>5.5747649642923172</v>
      </c>
      <c r="T21" s="38">
        <f t="shared" si="127"/>
        <v>-265702.92336448596</v>
      </c>
      <c r="U21" s="38" t="e">
        <f t="shared" si="127"/>
        <v>#DIV/0!</v>
      </c>
      <c r="V21" s="38">
        <f t="shared" si="127"/>
        <v>-289857.73457943916</v>
      </c>
      <c r="W21" s="38" t="e">
        <f t="shared" si="127"/>
        <v>#DIV/0!</v>
      </c>
      <c r="X21" s="42">
        <f>E21/$E$21</f>
        <v>1</v>
      </c>
      <c r="Y21" s="38" t="e">
        <f>SUM(Y3:Y9)</f>
        <v>#DIV/0!</v>
      </c>
      <c r="Z21" s="38">
        <f>SUM(Z3:Z9)</f>
        <v>6041554</v>
      </c>
      <c r="AA21" s="38">
        <f>SUM(AA3:AA9)</f>
        <v>5646312.1495327102</v>
      </c>
      <c r="AB21" s="38">
        <f>SUM(AB3:AB9)</f>
        <v>6941548.1121495329</v>
      </c>
      <c r="AC21" s="105">
        <f>AB21-AA21</f>
        <v>1295235.9626168227</v>
      </c>
      <c r="AD21" s="106">
        <f>(AB21-AA21)/AA21</f>
        <v>0.22939503313220411</v>
      </c>
      <c r="AE21" s="38">
        <f>SUM(AE3:AE9)</f>
        <v>6436063.7000000002</v>
      </c>
      <c r="AF21" s="38">
        <f>SUM(AF3:AF9)</f>
        <v>6015012.8037383184</v>
      </c>
      <c r="AG21" s="38">
        <f>SUM(AG3:AG9)</f>
        <v>6941548.1121495329</v>
      </c>
      <c r="AH21" s="152">
        <f t="shared" si="28"/>
        <v>926535.3084112145</v>
      </c>
      <c r="AI21" s="153">
        <f t="shared" si="29"/>
        <v>0.15403712986868034</v>
      </c>
      <c r="AJ21" s="38">
        <f>SUM(AJ3:AJ9)</f>
        <v>1791342.5</v>
      </c>
      <c r="AK21" s="38">
        <f>SUM(AK3:AK9)</f>
        <v>1791163.3</v>
      </c>
      <c r="AL21" s="38">
        <f>SUM(AL3:AL9)</f>
        <v>1587834</v>
      </c>
      <c r="AM21" s="38">
        <f>SUM(AM3:AM9)</f>
        <v>1529584</v>
      </c>
      <c r="AN21" s="38">
        <f>SUM(AN3:AN9)</f>
        <v>1718219.68</v>
      </c>
      <c r="AO21" s="164">
        <f t="shared" si="30"/>
        <v>188635.67999999993</v>
      </c>
      <c r="AP21" s="165">
        <f t="shared" si="31"/>
        <v>0.12332482557348921</v>
      </c>
      <c r="AQ21" s="43"/>
      <c r="AR21" s="32"/>
      <c r="AS21" s="8" t="s">
        <v>213</v>
      </c>
      <c r="AT21" s="13">
        <f>SUM(AT3:AT20)</f>
        <v>16400000</v>
      </c>
      <c r="AU21" s="13">
        <f>SUM(AU3:AU20)</f>
        <v>16088068.093457947</v>
      </c>
      <c r="AV21" s="14">
        <f>AU21/$D$37</f>
        <v>518969.93849864346</v>
      </c>
      <c r="AW21" s="15">
        <f>(AV21*$E$37)+AU21</f>
        <v>16088068.093457947</v>
      </c>
      <c r="AX21" s="130">
        <f>AW21/AT21</f>
        <v>0.98097976179621627</v>
      </c>
      <c r="AY21" s="127">
        <f>(AV21*50%)+AV21</f>
        <v>778454.90774796519</v>
      </c>
      <c r="AZ21" s="128">
        <f>(AY21*$E$37)+AU21</f>
        <v>16088068.093457947</v>
      </c>
      <c r="BA21" s="129">
        <f t="shared" si="27"/>
        <v>0.98097976179621627</v>
      </c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</row>
    <row r="22" spans="1:73" s="32" customFormat="1" ht="69" customHeight="1" x14ac:dyDescent="0.15">
      <c r="A22" s="36" t="s">
        <v>206</v>
      </c>
      <c r="B22" s="44">
        <f>SUM(B3:B15)</f>
        <v>12947000</v>
      </c>
      <c r="C22" s="38">
        <f>SUM(C3:C19)</f>
        <v>15400000</v>
      </c>
      <c r="D22" s="44">
        <f>SUM(D3:D20)</f>
        <v>546666.66666666674</v>
      </c>
      <c r="E22" s="38">
        <f>SUM(E3:E19)</f>
        <v>16531357.860000001</v>
      </c>
      <c r="F22" s="38">
        <f>SUM(F3:F19)</f>
        <v>15449867.158878507</v>
      </c>
      <c r="G22" s="44">
        <f t="shared" ref="G22" si="128">SUM(G3:G20)</f>
        <v>35112</v>
      </c>
      <c r="H22" s="39">
        <f>SUM(H3:H19)/17</f>
        <v>462.77344342229731</v>
      </c>
      <c r="I22" s="39">
        <v>423</v>
      </c>
      <c r="J22" s="45">
        <f t="shared" si="43"/>
        <v>8.5945820763104197E-2</v>
      </c>
      <c r="K22" s="46" t="e">
        <f>(E22-C22)/$E$37</f>
        <v>#DIV/0!</v>
      </c>
      <c r="L22" s="41">
        <f>F22/C22</f>
        <v>1.0032381271999031</v>
      </c>
      <c r="M22" s="41"/>
      <c r="N22" s="145">
        <f>SUM(N3:N16)</f>
        <v>-391406.99065420561</v>
      </c>
      <c r="O22" s="47" t="e">
        <f>N22/$E$37</f>
        <v>#DIV/0!</v>
      </c>
      <c r="P22" s="38" t="e">
        <f>SUM(N22/$E$37)</f>
        <v>#DIV/0!</v>
      </c>
      <c r="Q22" s="48">
        <f>E22/$D$37</f>
        <v>533269.60838709679</v>
      </c>
      <c r="R22" s="48">
        <f>Q22*22</f>
        <v>11731931.384516129</v>
      </c>
      <c r="S22" s="40">
        <f>R22/C22</f>
        <v>0.76181372626728117</v>
      </c>
      <c r="T22" s="38">
        <f>SUM(T3:T15)</f>
        <v>-370137.12897196267</v>
      </c>
      <c r="U22" s="38" t="e">
        <f>T22/$E$37</f>
        <v>#DIV/0!</v>
      </c>
      <c r="V22" s="38">
        <f>SUM(V3:V15)</f>
        <v>-403785.95887850469</v>
      </c>
      <c r="W22" s="38" t="e">
        <f>SUM(V22/$E$37)</f>
        <v>#DIV/0!</v>
      </c>
      <c r="X22" s="42">
        <f>E22/$E$22</f>
        <v>1</v>
      </c>
      <c r="Y22" s="49" t="e">
        <f>E22/H37</f>
        <v>#DIV/0!</v>
      </c>
      <c r="Z22" s="38">
        <f>SUM(Z2:Z21)</f>
        <v>16057032.5</v>
      </c>
      <c r="AA22" s="38">
        <f>SUM(AA3:AA20)</f>
        <v>9358369.6261682231</v>
      </c>
      <c r="AB22" s="38">
        <f t="shared" ref="AB22:AN22" si="129">SUM(AB3:AB20)</f>
        <v>16088068.093457947</v>
      </c>
      <c r="AC22" s="38">
        <f t="shared" si="129"/>
        <v>6729698.4672897197</v>
      </c>
      <c r="AD22" s="106">
        <f>(AB22-AA22)/AA22</f>
        <v>0.71911013735468288</v>
      </c>
      <c r="AE22" s="38">
        <f t="shared" si="129"/>
        <v>15084109.249999998</v>
      </c>
      <c r="AF22" s="38">
        <f t="shared" si="129"/>
        <v>13475170.327102803</v>
      </c>
      <c r="AG22" s="38">
        <f t="shared" si="129"/>
        <v>16088068.093457947</v>
      </c>
      <c r="AH22" s="38">
        <f t="shared" si="129"/>
        <v>2612897.7663551401</v>
      </c>
      <c r="AI22" s="153">
        <f t="shared" si="29"/>
        <v>0.19390461886034829</v>
      </c>
      <c r="AJ22" s="38">
        <f t="shared" si="129"/>
        <v>4146836</v>
      </c>
      <c r="AK22" s="38">
        <f t="shared" si="129"/>
        <v>4212754.3</v>
      </c>
      <c r="AL22" s="38">
        <f t="shared" si="129"/>
        <v>3465568</v>
      </c>
      <c r="AM22" s="38">
        <f t="shared" si="129"/>
        <v>3645848.38</v>
      </c>
      <c r="AN22" s="38">
        <f t="shared" si="129"/>
        <v>4038286.6799999997</v>
      </c>
      <c r="AO22" s="164">
        <f t="shared" si="30"/>
        <v>392438.29999999981</v>
      </c>
      <c r="AP22" s="165">
        <f t="shared" si="31"/>
        <v>0.1076397751899929</v>
      </c>
      <c r="AQ22" s="43"/>
      <c r="AW22" s="139">
        <f>(AW21*7)/100+AW21</f>
        <v>17214232.860000003</v>
      </c>
    </row>
    <row r="23" spans="1:73" x14ac:dyDescent="0.2">
      <c r="C23" s="51"/>
      <c r="I23" s="52"/>
    </row>
    <row r="24" spans="1:73" ht="32" customHeight="1" x14ac:dyDescent="0.2">
      <c r="C24" s="51"/>
      <c r="E24" s="140">
        <f>SUM(E22-C22)</f>
        <v>1131357.8600000013</v>
      </c>
      <c r="F24" s="140">
        <f>SUM(F22-C22)</f>
        <v>49867.158878507093</v>
      </c>
      <c r="G24" s="142"/>
      <c r="H24" s="142"/>
      <c r="I24" s="142"/>
      <c r="J24" s="142"/>
      <c r="K24" s="143" t="s">
        <v>24</v>
      </c>
      <c r="L24" s="141">
        <f>SUM(L22-100%)</f>
        <v>3.2381271999031291E-3</v>
      </c>
      <c r="M24" s="56"/>
    </row>
    <row r="25" spans="1:73" x14ac:dyDescent="0.2">
      <c r="E25" s="54"/>
      <c r="F25" s="54"/>
      <c r="K25" s="55"/>
      <c r="L25" s="56"/>
      <c r="M25" s="56"/>
    </row>
    <row r="26" spans="1:73" x14ac:dyDescent="0.2">
      <c r="E26" s="54"/>
      <c r="F26" s="54"/>
      <c r="K26" s="55"/>
      <c r="L26" s="56"/>
      <c r="M26" s="56"/>
      <c r="Z26" s="53"/>
      <c r="AA26" s="53"/>
      <c r="AB26" s="53"/>
    </row>
    <row r="27" spans="1:73" ht="35" customHeight="1" x14ac:dyDescent="0.2">
      <c r="C27" s="154">
        <f>C22-F22</f>
        <v>-49867.158878507093</v>
      </c>
      <c r="E27" s="54"/>
      <c r="F27" s="54"/>
      <c r="I27" s="50">
        <f>SUM(I3:I15)</f>
        <v>5112</v>
      </c>
      <c r="J27" s="50">
        <f>I27/15</f>
        <v>340.8</v>
      </c>
      <c r="K27" s="55"/>
      <c r="L27" s="56"/>
      <c r="M27" s="56"/>
      <c r="Z27" s="57"/>
      <c r="AA27" s="57"/>
      <c r="AB27" s="57"/>
    </row>
    <row r="28" spans="1:73" ht="8" customHeight="1" x14ac:dyDescent="0.2">
      <c r="E28" s="54"/>
      <c r="F28" s="54"/>
      <c r="K28" s="55"/>
      <c r="L28" s="56"/>
      <c r="M28" s="56"/>
    </row>
    <row r="29" spans="1:73" x14ac:dyDescent="0.2">
      <c r="C29" s="132"/>
      <c r="E29" s="54"/>
      <c r="F29" s="58"/>
      <c r="G29" s="52"/>
      <c r="K29" s="55"/>
      <c r="L29" s="59"/>
      <c r="M29" s="59"/>
      <c r="N29" s="60"/>
      <c r="O29" s="60"/>
      <c r="P29" s="60"/>
      <c r="Q29" s="60"/>
      <c r="R29" s="60"/>
      <c r="S29" s="60"/>
      <c r="T29" s="60"/>
      <c r="U29" s="60"/>
      <c r="V29" s="60"/>
      <c r="W29" s="60" t="s">
        <v>2</v>
      </c>
      <c r="X29" s="60"/>
      <c r="Y29" s="60"/>
      <c r="Z29" s="61"/>
      <c r="AA29" s="61"/>
      <c r="AB29" s="62"/>
      <c r="AC29" s="63"/>
      <c r="AD29" s="64"/>
      <c r="AE29" s="60"/>
      <c r="AF29" s="60"/>
      <c r="AG29" s="60"/>
      <c r="AH29" s="60"/>
      <c r="AI29" s="60"/>
      <c r="AJ29" s="60"/>
    </row>
    <row r="30" spans="1:73" x14ac:dyDescent="0.2">
      <c r="E30" s="54"/>
      <c r="F30" s="54"/>
      <c r="G30" s="52"/>
      <c r="K30" s="55"/>
      <c r="L30" s="59"/>
      <c r="M30" s="59"/>
      <c r="N30" s="60"/>
      <c r="O30" s="60"/>
      <c r="P30" s="60"/>
      <c r="Q30" s="60"/>
      <c r="R30" s="60"/>
      <c r="S30" s="60"/>
      <c r="T30" s="60"/>
      <c r="U30" s="60"/>
      <c r="V30" s="60"/>
      <c r="W30" s="60" t="s">
        <v>1</v>
      </c>
      <c r="X30" s="60"/>
      <c r="Y30" s="60"/>
      <c r="Z30" s="61"/>
      <c r="AA30" s="61"/>
      <c r="AB30" s="62"/>
      <c r="AC30" s="63"/>
      <c r="AD30" s="64"/>
      <c r="AE30" s="60"/>
      <c r="AF30" s="60"/>
      <c r="AG30" s="60"/>
      <c r="AH30" s="60"/>
      <c r="AI30" s="60"/>
      <c r="AJ30" s="60"/>
    </row>
    <row r="31" spans="1:73" x14ac:dyDescent="0.2">
      <c r="E31" s="54"/>
      <c r="F31" s="54"/>
      <c r="K31" s="55"/>
      <c r="L31" s="59"/>
      <c r="M31" s="59"/>
      <c r="N31" s="60"/>
      <c r="O31" s="60"/>
      <c r="P31" s="60"/>
      <c r="Q31" s="60"/>
      <c r="R31" s="60"/>
      <c r="S31" s="60"/>
      <c r="T31" s="60"/>
      <c r="U31" s="60"/>
      <c r="V31" s="60"/>
      <c r="W31" s="60" t="s">
        <v>38</v>
      </c>
      <c r="X31" s="60"/>
      <c r="Y31" s="60"/>
      <c r="Z31" s="61"/>
      <c r="AA31" s="61"/>
      <c r="AB31" s="62"/>
      <c r="AC31" s="63"/>
      <c r="AD31" s="64"/>
      <c r="AE31" s="60"/>
      <c r="AF31" s="60"/>
      <c r="AG31" s="60"/>
      <c r="AH31" s="60"/>
      <c r="AI31" s="60"/>
      <c r="AJ31" s="60"/>
    </row>
    <row r="32" spans="1:73" x14ac:dyDescent="0.2">
      <c r="E32" s="54"/>
      <c r="F32" s="54"/>
      <c r="K32" s="55"/>
      <c r="L32" s="59"/>
      <c r="M32" s="59"/>
      <c r="N32" s="60"/>
      <c r="O32" s="60"/>
      <c r="P32" s="60"/>
      <c r="Q32" s="60"/>
      <c r="R32" s="60"/>
      <c r="S32" s="60"/>
      <c r="T32" s="60"/>
      <c r="U32" s="60"/>
      <c r="V32" s="60"/>
      <c r="W32" s="60" t="s">
        <v>142</v>
      </c>
      <c r="X32" s="60"/>
      <c r="Y32" s="60"/>
      <c r="Z32" s="61"/>
      <c r="AA32" s="61"/>
      <c r="AB32" s="62"/>
      <c r="AC32" s="65"/>
      <c r="AD32" s="64"/>
      <c r="AE32" s="60"/>
      <c r="AF32" s="60"/>
      <c r="AG32" s="60"/>
      <c r="AH32" s="60"/>
      <c r="AI32" s="60"/>
      <c r="AJ32" s="60"/>
    </row>
    <row r="33" spans="1:36" x14ac:dyDescent="0.2">
      <c r="E33" s="66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 t="s">
        <v>39</v>
      </c>
      <c r="X33" s="60"/>
      <c r="Y33" s="60"/>
      <c r="Z33" s="61"/>
      <c r="AA33" s="61"/>
      <c r="AB33" s="62"/>
      <c r="AC33" s="63"/>
      <c r="AD33" s="64"/>
      <c r="AE33" s="60"/>
      <c r="AF33" s="60"/>
      <c r="AG33" s="60"/>
      <c r="AH33" s="60"/>
      <c r="AI33" s="60"/>
      <c r="AJ33" s="60"/>
    </row>
    <row r="34" spans="1:36" x14ac:dyDescent="0.2"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 t="s">
        <v>4</v>
      </c>
      <c r="X34" s="60"/>
      <c r="Y34" s="60"/>
      <c r="Z34" s="61"/>
      <c r="AA34" s="61"/>
      <c r="AB34" s="62"/>
      <c r="AC34" s="65"/>
      <c r="AD34" s="64"/>
      <c r="AE34" s="60"/>
      <c r="AF34" s="60"/>
      <c r="AG34" s="60"/>
      <c r="AH34" s="60"/>
      <c r="AI34" s="60"/>
      <c r="AJ34" s="60"/>
    </row>
    <row r="35" spans="1:36" x14ac:dyDescent="0.2">
      <c r="D35" s="173" t="s">
        <v>31</v>
      </c>
      <c r="E35" s="173"/>
      <c r="H35" s="173" t="s">
        <v>31</v>
      </c>
      <c r="I35" s="173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 t="s">
        <v>37</v>
      </c>
      <c r="X35" s="60"/>
      <c r="Y35" s="60"/>
      <c r="Z35" s="61"/>
      <c r="AA35" s="61"/>
      <c r="AB35" s="62"/>
      <c r="AC35" s="63"/>
      <c r="AD35" s="64"/>
      <c r="AE35" s="60"/>
      <c r="AF35" s="60"/>
      <c r="AG35" s="60"/>
      <c r="AH35" s="60"/>
      <c r="AI35" s="60"/>
      <c r="AJ35" s="60"/>
    </row>
    <row r="36" spans="1:36" x14ac:dyDescent="0.2">
      <c r="D36" s="67" t="s">
        <v>27</v>
      </c>
      <c r="E36" s="67" t="s">
        <v>26</v>
      </c>
      <c r="H36" s="172" t="s">
        <v>30</v>
      </c>
      <c r="I36" s="172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 t="s">
        <v>5</v>
      </c>
      <c r="X36" s="60"/>
      <c r="Y36" s="60"/>
      <c r="Z36" s="61"/>
      <c r="AA36" s="61"/>
      <c r="AB36" s="62"/>
      <c r="AC36" s="65"/>
      <c r="AD36" s="64"/>
      <c r="AE36" s="60"/>
      <c r="AF36" s="60"/>
      <c r="AG36" s="60"/>
      <c r="AH36" s="60"/>
      <c r="AI36" s="60"/>
      <c r="AJ36" s="60"/>
    </row>
    <row r="37" spans="1:36" ht="40" customHeight="1" x14ac:dyDescent="0.2">
      <c r="D37" s="68">
        <v>31</v>
      </c>
      <c r="E37" s="68">
        <f>31-D37</f>
        <v>0</v>
      </c>
      <c r="F37" s="69"/>
      <c r="H37" s="171"/>
      <c r="I37" s="171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 t="s">
        <v>36</v>
      </c>
      <c r="X37" s="60"/>
      <c r="Y37" s="60"/>
      <c r="Z37" s="61"/>
      <c r="AA37" s="61"/>
      <c r="AB37" s="62"/>
      <c r="AC37" s="63"/>
      <c r="AD37" s="64"/>
      <c r="AE37" s="60"/>
      <c r="AF37" s="60"/>
      <c r="AG37" s="60"/>
      <c r="AH37" s="60"/>
      <c r="AI37" s="60"/>
      <c r="AJ37" s="60"/>
    </row>
    <row r="38" spans="1:36" x14ac:dyDescent="0.2"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 t="s">
        <v>40</v>
      </c>
      <c r="X38" s="60"/>
      <c r="Y38" s="60"/>
      <c r="Z38" s="61"/>
      <c r="AA38" s="61"/>
      <c r="AB38" s="62"/>
      <c r="AC38" s="63"/>
      <c r="AD38" s="64"/>
      <c r="AE38" s="60"/>
      <c r="AF38" s="60"/>
      <c r="AG38" s="60"/>
      <c r="AH38" s="60"/>
      <c r="AI38" s="60"/>
      <c r="AJ38" s="60"/>
    </row>
    <row r="39" spans="1:36" x14ac:dyDescent="0.2"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 t="s">
        <v>3</v>
      </c>
      <c r="X39" s="60"/>
      <c r="Y39" s="60"/>
      <c r="Z39" s="61"/>
      <c r="AA39" s="61"/>
      <c r="AB39" s="62"/>
      <c r="AC39" s="65"/>
      <c r="AD39" s="64"/>
      <c r="AE39" s="60"/>
      <c r="AF39" s="60"/>
      <c r="AG39" s="60"/>
      <c r="AH39" s="60"/>
      <c r="AI39" s="60"/>
      <c r="AJ39" s="60"/>
    </row>
    <row r="40" spans="1:36" x14ac:dyDescent="0.2"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 t="s">
        <v>41</v>
      </c>
      <c r="X40" s="60"/>
      <c r="Y40" s="60"/>
      <c r="Z40" s="61"/>
      <c r="AA40" s="61"/>
      <c r="AB40" s="62"/>
      <c r="AC40" s="65"/>
      <c r="AD40" s="64"/>
      <c r="AE40" s="60"/>
      <c r="AF40" s="60"/>
      <c r="AG40" s="60"/>
      <c r="AH40" s="60"/>
      <c r="AI40" s="60"/>
      <c r="AJ40" s="60"/>
    </row>
    <row r="41" spans="1:36" x14ac:dyDescent="0.2">
      <c r="E41" s="53"/>
      <c r="F41" s="53"/>
      <c r="G41" s="53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 t="s">
        <v>6</v>
      </c>
      <c r="X41" s="60"/>
      <c r="Y41" s="60"/>
      <c r="Z41" s="61"/>
      <c r="AA41" s="61"/>
      <c r="AB41" s="62"/>
      <c r="AC41" s="65"/>
      <c r="AD41" s="64"/>
      <c r="AE41" s="60"/>
      <c r="AF41" s="60"/>
      <c r="AG41" s="60"/>
      <c r="AH41" s="60"/>
      <c r="AI41" s="60"/>
      <c r="AJ41" s="60"/>
    </row>
    <row r="42" spans="1:36" x14ac:dyDescent="0.2">
      <c r="E42" s="70"/>
      <c r="F42" s="70"/>
      <c r="G42" s="71"/>
      <c r="H42" s="72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 t="s">
        <v>7</v>
      </c>
      <c r="X42" s="60"/>
      <c r="Y42" s="60"/>
      <c r="Z42" s="61"/>
      <c r="AA42" s="61"/>
      <c r="AB42" s="62"/>
      <c r="AC42" s="65"/>
      <c r="AD42" s="64"/>
      <c r="AE42" s="60"/>
      <c r="AF42" s="60"/>
      <c r="AG42" s="60"/>
      <c r="AH42" s="60"/>
      <c r="AI42" s="60"/>
      <c r="AJ42" s="60"/>
    </row>
    <row r="43" spans="1:36" x14ac:dyDescent="0.2">
      <c r="E43" s="70"/>
      <c r="F43" s="70"/>
      <c r="G43" s="71"/>
      <c r="H43" s="72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 t="s">
        <v>165</v>
      </c>
      <c r="X43" s="60"/>
      <c r="Y43" s="60"/>
      <c r="Z43" s="61"/>
      <c r="AA43" s="61"/>
      <c r="AB43" s="62"/>
      <c r="AC43" s="65"/>
      <c r="AD43" s="64"/>
      <c r="AE43" s="60"/>
      <c r="AF43" s="60"/>
      <c r="AG43" s="60"/>
      <c r="AH43" s="60"/>
      <c r="AI43" s="60"/>
      <c r="AJ43" s="60"/>
    </row>
    <row r="44" spans="1:36" x14ac:dyDescent="0.2">
      <c r="A44" s="73" t="s">
        <v>0</v>
      </c>
      <c r="B44" s="73"/>
      <c r="C44" s="73" t="s">
        <v>35</v>
      </c>
      <c r="D44" s="73" t="s">
        <v>171</v>
      </c>
      <c r="E44" s="70"/>
      <c r="F44" s="70"/>
      <c r="G44" s="71"/>
      <c r="H44" s="72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</row>
    <row r="45" spans="1:36" x14ac:dyDescent="0.2">
      <c r="A45" s="74" t="s">
        <v>102</v>
      </c>
      <c r="B45" s="75"/>
      <c r="C45" s="19">
        <f t="shared" ref="C45:C51" si="130">C3</f>
        <v>1100000</v>
      </c>
      <c r="D45" s="76">
        <f t="shared" ref="D45:D51" si="131">E3</f>
        <v>1077583</v>
      </c>
      <c r="E45" s="70"/>
      <c r="F45" s="70"/>
      <c r="G45" s="71"/>
      <c r="H45" s="72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</row>
    <row r="46" spans="1:36" x14ac:dyDescent="0.2">
      <c r="A46" s="74" t="s">
        <v>108</v>
      </c>
      <c r="B46" s="75"/>
      <c r="C46" s="19">
        <f t="shared" si="130"/>
        <v>850000</v>
      </c>
      <c r="D46" s="76">
        <f t="shared" si="131"/>
        <v>1002951.5</v>
      </c>
      <c r="E46" s="70"/>
      <c r="F46" s="70"/>
      <c r="G46" s="71"/>
      <c r="H46" s="72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</row>
    <row r="47" spans="1:36" x14ac:dyDescent="0.2">
      <c r="A47" s="74" t="s">
        <v>1</v>
      </c>
      <c r="B47" s="75"/>
      <c r="C47" s="19">
        <f t="shared" si="130"/>
        <v>1100000</v>
      </c>
      <c r="D47" s="76">
        <f t="shared" si="131"/>
        <v>1085005</v>
      </c>
      <c r="E47" s="70"/>
      <c r="F47" s="70"/>
      <c r="G47" s="77"/>
      <c r="H47" s="72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</row>
    <row r="48" spans="1:36" x14ac:dyDescent="0.2">
      <c r="A48" s="74" t="s">
        <v>77</v>
      </c>
      <c r="B48" s="75"/>
      <c r="C48" s="19">
        <f t="shared" si="130"/>
        <v>1300000</v>
      </c>
      <c r="D48" s="76">
        <f t="shared" si="131"/>
        <v>1468983.18</v>
      </c>
      <c r="E48" s="70"/>
      <c r="F48" s="70"/>
      <c r="G48" s="77"/>
      <c r="H48" s="72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</row>
    <row r="49" spans="1:36" x14ac:dyDescent="0.2">
      <c r="A49" s="74" t="s">
        <v>128</v>
      </c>
      <c r="B49" s="75"/>
      <c r="C49" s="19">
        <f t="shared" si="130"/>
        <v>600000</v>
      </c>
      <c r="D49" s="76">
        <f t="shared" si="131"/>
        <v>708646</v>
      </c>
      <c r="E49" s="70"/>
      <c r="F49" s="70"/>
      <c r="G49" s="71"/>
      <c r="H49" s="72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</row>
    <row r="50" spans="1:36" x14ac:dyDescent="0.2">
      <c r="A50" s="74" t="s">
        <v>165</v>
      </c>
      <c r="B50" s="75"/>
      <c r="C50" s="19">
        <f t="shared" si="130"/>
        <v>550000</v>
      </c>
      <c r="D50" s="76">
        <f t="shared" si="131"/>
        <v>671624.5</v>
      </c>
      <c r="E50" s="70"/>
      <c r="F50" s="70"/>
      <c r="G50" s="77"/>
      <c r="H50" s="72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</row>
    <row r="51" spans="1:36" x14ac:dyDescent="0.2">
      <c r="A51" s="78" t="s">
        <v>187</v>
      </c>
      <c r="B51" s="75"/>
      <c r="C51" s="19">
        <f t="shared" si="130"/>
        <v>1200000</v>
      </c>
      <c r="D51" s="76">
        <f t="shared" si="131"/>
        <v>1412663.3</v>
      </c>
      <c r="E51" s="70"/>
      <c r="F51" s="70"/>
      <c r="G51" s="77"/>
      <c r="H51" s="72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</row>
    <row r="52" spans="1:36" x14ac:dyDescent="0.2">
      <c r="A52" s="78" t="s">
        <v>49</v>
      </c>
      <c r="B52" s="75"/>
      <c r="C52" s="19">
        <f t="shared" ref="C52:C61" si="132">C11</f>
        <v>2100000</v>
      </c>
      <c r="D52" s="76">
        <f t="shared" ref="D52:D60" si="133">E11</f>
        <v>2377971</v>
      </c>
      <c r="E52" s="70"/>
      <c r="F52" s="70"/>
      <c r="G52" s="77"/>
      <c r="H52" s="72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</row>
    <row r="53" spans="1:36" x14ac:dyDescent="0.2">
      <c r="A53" s="74" t="s">
        <v>38</v>
      </c>
      <c r="B53" s="75"/>
      <c r="C53" s="19">
        <f t="shared" si="132"/>
        <v>500000</v>
      </c>
      <c r="D53" s="76">
        <f t="shared" si="133"/>
        <v>432844</v>
      </c>
      <c r="E53" s="70"/>
      <c r="F53" s="70"/>
      <c r="G53" s="77"/>
      <c r="H53" s="72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</row>
    <row r="54" spans="1:36" x14ac:dyDescent="0.2">
      <c r="A54" s="79" t="s">
        <v>51</v>
      </c>
      <c r="B54" s="75"/>
      <c r="C54" s="19">
        <f t="shared" si="132"/>
        <v>700000</v>
      </c>
      <c r="D54" s="76">
        <f t="shared" si="133"/>
        <v>859124</v>
      </c>
      <c r="E54" s="70"/>
      <c r="F54" s="70"/>
      <c r="G54" s="77"/>
      <c r="H54" s="72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</row>
    <row r="55" spans="1:36" x14ac:dyDescent="0.2">
      <c r="A55" s="79" t="s">
        <v>81</v>
      </c>
      <c r="B55" s="75"/>
      <c r="C55" s="19">
        <f t="shared" si="132"/>
        <v>1700000</v>
      </c>
      <c r="D55" s="76">
        <f t="shared" si="133"/>
        <v>1886188</v>
      </c>
      <c r="E55" s="70"/>
      <c r="F55" s="70"/>
      <c r="G55" s="77"/>
      <c r="H55" s="72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</row>
    <row r="56" spans="1:36" x14ac:dyDescent="0.2">
      <c r="A56" s="74" t="s">
        <v>198</v>
      </c>
      <c r="B56" s="75"/>
      <c r="C56" s="19">
        <f t="shared" si="132"/>
        <v>400000</v>
      </c>
      <c r="D56" s="76">
        <f t="shared" si="133"/>
        <v>323459</v>
      </c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</row>
    <row r="57" spans="1:36" x14ac:dyDescent="0.2">
      <c r="A57" s="74" t="s">
        <v>211</v>
      </c>
      <c r="B57" s="75"/>
      <c r="C57" s="19">
        <f t="shared" si="132"/>
        <v>950000</v>
      </c>
      <c r="D57" s="76">
        <f t="shared" si="133"/>
        <v>1075263</v>
      </c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</row>
    <row r="58" spans="1:36" x14ac:dyDescent="0.2">
      <c r="A58" s="75" t="s">
        <v>241</v>
      </c>
      <c r="B58" s="75"/>
      <c r="C58" s="19">
        <f t="shared" si="132"/>
        <v>500000</v>
      </c>
      <c r="D58" s="76">
        <f t="shared" si="133"/>
        <v>375125</v>
      </c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</row>
    <row r="59" spans="1:36" x14ac:dyDescent="0.2">
      <c r="A59" s="79" t="s">
        <v>239</v>
      </c>
      <c r="B59" s="75"/>
      <c r="C59" s="19">
        <f t="shared" si="132"/>
        <v>950000</v>
      </c>
      <c r="D59" s="76">
        <f t="shared" si="133"/>
        <v>956875.38</v>
      </c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</row>
    <row r="60" spans="1:36" x14ac:dyDescent="0.2">
      <c r="A60" s="75" t="s">
        <v>248</v>
      </c>
      <c r="B60" s="75"/>
      <c r="C60" s="19">
        <f t="shared" si="132"/>
        <v>900000</v>
      </c>
      <c r="D60" s="76">
        <f t="shared" si="133"/>
        <v>817052</v>
      </c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</row>
    <row r="61" spans="1:36" x14ac:dyDescent="0.2">
      <c r="A61" s="75" t="s">
        <v>327</v>
      </c>
      <c r="B61" s="75"/>
      <c r="C61" s="19">
        <f t="shared" si="132"/>
        <v>1000000</v>
      </c>
      <c r="D61" s="76">
        <f t="shared" ref="D61" si="134">E20</f>
        <v>682874.99999999988</v>
      </c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</row>
    <row r="62" spans="1:36" x14ac:dyDescent="0.2">
      <c r="A62" s="75"/>
      <c r="B62" s="75"/>
      <c r="C62" s="19"/>
      <c r="D62" s="76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</row>
    <row r="63" spans="1:36" x14ac:dyDescent="0.2">
      <c r="A63" s="75"/>
      <c r="B63" s="75"/>
      <c r="C63" s="19"/>
      <c r="D63" s="76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6" x14ac:dyDescent="0.2">
      <c r="A64" s="75"/>
      <c r="B64" s="75"/>
      <c r="C64" s="75"/>
      <c r="D64" s="75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</row>
    <row r="65" spans="12:36" x14ac:dyDescent="0.2"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</row>
    <row r="66" spans="12:36" x14ac:dyDescent="0.2"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</row>
    <row r="67" spans="12:36" x14ac:dyDescent="0.2"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</row>
    <row r="68" spans="12:36" x14ac:dyDescent="0.2"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</row>
    <row r="69" spans="12:36" x14ac:dyDescent="0.2"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</row>
    <row r="70" spans="12:36" x14ac:dyDescent="0.2"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</row>
    <row r="71" spans="12:36" x14ac:dyDescent="0.2"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</row>
    <row r="72" spans="12:36" x14ac:dyDescent="0.2"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</row>
    <row r="73" spans="12:36" x14ac:dyDescent="0.2"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</row>
    <row r="74" spans="12:36" x14ac:dyDescent="0.2"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</row>
    <row r="75" spans="12:36" x14ac:dyDescent="0.2"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</row>
    <row r="76" spans="12:36" x14ac:dyDescent="0.2"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</row>
  </sheetData>
  <autoFilter ref="C44:D57" xr:uid="{17E02038-B555-7F4C-A170-734FE1AFA547}"/>
  <mergeCells count="24">
    <mergeCell ref="D35:E35"/>
    <mergeCell ref="Y1:Y2"/>
    <mergeCell ref="J1:J2"/>
    <mergeCell ref="K1:K2"/>
    <mergeCell ref="L1:L2"/>
    <mergeCell ref="X1:X2"/>
    <mergeCell ref="N1:W1"/>
    <mergeCell ref="E1:G1"/>
    <mergeCell ref="H1:H2"/>
    <mergeCell ref="I1:I2"/>
    <mergeCell ref="M1:M2"/>
    <mergeCell ref="AY1:BA1"/>
    <mergeCell ref="AT1:AX1"/>
    <mergeCell ref="AS1:AS2"/>
    <mergeCell ref="H37:I37"/>
    <mergeCell ref="H36:I36"/>
    <mergeCell ref="H35:I35"/>
    <mergeCell ref="Z1:AD1"/>
    <mergeCell ref="AE1:AI1"/>
    <mergeCell ref="AJ1:AP1"/>
    <mergeCell ref="AQ1:AQ2"/>
    <mergeCell ref="AC2:AD2"/>
    <mergeCell ref="AH2:AI2"/>
    <mergeCell ref="AO2:AP2"/>
  </mergeCells>
  <phoneticPr fontId="3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808E-C5B2-9B43-87A0-51288C7B5FA7}">
  <dimension ref="A1:C991"/>
  <sheetViews>
    <sheetView workbookViewId="0">
      <pane ySplit="1" topLeftCell="A59" activePane="bottomLeft" state="frozen"/>
      <selection pane="bottomLeft" activeCell="D89" sqref="D89"/>
    </sheetView>
  </sheetViews>
  <sheetFormatPr baseColWidth="10" defaultColWidth="10.85546875" defaultRowHeight="15" x14ac:dyDescent="0.15"/>
  <cols>
    <col min="1" max="1" width="7.140625" style="101" customWidth="1"/>
    <col min="2" max="2" width="41.140625" style="108" bestFit="1" customWidth="1"/>
    <col min="3" max="3" width="19" style="108" customWidth="1"/>
    <col min="4" max="16384" width="10.85546875" style="108"/>
  </cols>
  <sheetData>
    <row r="1" spans="1:3" s="101" customFormat="1" ht="20" customHeight="1" x14ac:dyDescent="0.15">
      <c r="A1" s="109" t="s">
        <v>34</v>
      </c>
      <c r="B1" s="109" t="s">
        <v>176</v>
      </c>
      <c r="C1" s="109" t="s">
        <v>287</v>
      </c>
    </row>
    <row r="2" spans="1:3" ht="19.5" customHeight="1" x14ac:dyDescent="0.2">
      <c r="A2" s="133">
        <v>1</v>
      </c>
      <c r="B2" s="137" t="s">
        <v>65</v>
      </c>
      <c r="C2" s="147">
        <v>2300000</v>
      </c>
    </row>
    <row r="3" spans="1:3" ht="19.5" customHeight="1" x14ac:dyDescent="0.2">
      <c r="A3" s="133">
        <v>2</v>
      </c>
      <c r="B3" s="137" t="s">
        <v>74</v>
      </c>
      <c r="C3" s="147">
        <v>2100000</v>
      </c>
    </row>
    <row r="4" spans="1:3" ht="19.5" customHeight="1" x14ac:dyDescent="0.2">
      <c r="A4" s="133">
        <v>3</v>
      </c>
      <c r="B4" s="137" t="s">
        <v>53</v>
      </c>
      <c r="C4" s="147">
        <v>2100000</v>
      </c>
    </row>
    <row r="5" spans="1:3" ht="19.5" customHeight="1" x14ac:dyDescent="0.2">
      <c r="A5" s="133">
        <v>4</v>
      </c>
      <c r="B5" s="137" t="s">
        <v>56</v>
      </c>
      <c r="C5" s="147">
        <v>2100000</v>
      </c>
    </row>
    <row r="6" spans="1:3" ht="19.5" customHeight="1" x14ac:dyDescent="0.2">
      <c r="A6" s="133">
        <v>5</v>
      </c>
      <c r="B6" s="137" t="s">
        <v>231</v>
      </c>
      <c r="C6" s="147">
        <v>1900000</v>
      </c>
    </row>
    <row r="7" spans="1:3" ht="19.5" customHeight="1" x14ac:dyDescent="0.2">
      <c r="A7" s="133">
        <v>6</v>
      </c>
      <c r="B7" s="137" t="s">
        <v>49</v>
      </c>
      <c r="C7" s="147">
        <v>2100000</v>
      </c>
    </row>
    <row r="8" spans="1:3" ht="19.5" customHeight="1" x14ac:dyDescent="0.2">
      <c r="A8" s="133">
        <v>7</v>
      </c>
      <c r="B8" s="137" t="s">
        <v>2</v>
      </c>
      <c r="C8" s="147">
        <v>1850000</v>
      </c>
    </row>
    <row r="9" spans="1:3" ht="19.5" customHeight="1" x14ac:dyDescent="0.2">
      <c r="A9" s="133">
        <v>8</v>
      </c>
      <c r="B9" s="137" t="s">
        <v>81</v>
      </c>
      <c r="C9" s="147">
        <v>1700000</v>
      </c>
    </row>
    <row r="10" spans="1:3" ht="19.5" customHeight="1" x14ac:dyDescent="0.2">
      <c r="A10" s="133">
        <v>9</v>
      </c>
      <c r="B10" s="137" t="s">
        <v>142</v>
      </c>
      <c r="C10" s="147">
        <v>1550000</v>
      </c>
    </row>
    <row r="11" spans="1:3" ht="19.5" customHeight="1" x14ac:dyDescent="0.2">
      <c r="A11" s="133">
        <v>10</v>
      </c>
      <c r="B11" s="137" t="s">
        <v>58</v>
      </c>
      <c r="C11" s="147">
        <v>1650000</v>
      </c>
    </row>
    <row r="12" spans="1:3" ht="19.5" customHeight="1" x14ac:dyDescent="0.2">
      <c r="A12" s="133">
        <v>11</v>
      </c>
      <c r="B12" s="137" t="s">
        <v>84</v>
      </c>
      <c r="C12" s="147">
        <v>2100000</v>
      </c>
    </row>
    <row r="13" spans="1:3" ht="19.5" customHeight="1" x14ac:dyDescent="0.2">
      <c r="A13" s="133">
        <v>12</v>
      </c>
      <c r="B13" s="137" t="s">
        <v>4</v>
      </c>
      <c r="C13" s="147">
        <v>1450000</v>
      </c>
    </row>
    <row r="14" spans="1:3" ht="19.5" customHeight="1" x14ac:dyDescent="0.2">
      <c r="A14" s="133">
        <v>13</v>
      </c>
      <c r="B14" s="137" t="s">
        <v>61</v>
      </c>
      <c r="C14" s="147">
        <v>1650000</v>
      </c>
    </row>
    <row r="15" spans="1:3" ht="19.5" customHeight="1" x14ac:dyDescent="0.2">
      <c r="A15" s="133">
        <v>14</v>
      </c>
      <c r="B15" s="137" t="s">
        <v>63</v>
      </c>
      <c r="C15" s="147">
        <v>1650000</v>
      </c>
    </row>
    <row r="16" spans="1:3" ht="19.5" customHeight="1" x14ac:dyDescent="0.2">
      <c r="A16" s="133">
        <v>15</v>
      </c>
      <c r="B16" s="137" t="s">
        <v>67</v>
      </c>
      <c r="C16" s="147">
        <v>1500000</v>
      </c>
    </row>
    <row r="17" spans="1:3" ht="19.5" customHeight="1" x14ac:dyDescent="0.2">
      <c r="A17" s="133">
        <v>16</v>
      </c>
      <c r="B17" s="137" t="s">
        <v>69</v>
      </c>
      <c r="C17" s="147">
        <v>800000</v>
      </c>
    </row>
    <row r="18" spans="1:3" ht="19.5" customHeight="1" x14ac:dyDescent="0.2">
      <c r="A18" s="133">
        <v>17</v>
      </c>
      <c r="B18" s="137" t="s">
        <v>266</v>
      </c>
      <c r="C18" s="147">
        <v>1300000</v>
      </c>
    </row>
    <row r="19" spans="1:3" ht="19.5" customHeight="1" x14ac:dyDescent="0.2">
      <c r="A19" s="133">
        <v>18</v>
      </c>
      <c r="B19" s="137" t="s">
        <v>88</v>
      </c>
      <c r="C19" s="147">
        <v>1300000</v>
      </c>
    </row>
    <row r="20" spans="1:3" ht="19.5" customHeight="1" x14ac:dyDescent="0.2">
      <c r="A20" s="133">
        <v>19</v>
      </c>
      <c r="B20" s="137" t="s">
        <v>144</v>
      </c>
      <c r="C20" s="147">
        <v>1350000</v>
      </c>
    </row>
    <row r="21" spans="1:3" ht="19.5" customHeight="1" x14ac:dyDescent="0.2">
      <c r="A21" s="133">
        <v>20</v>
      </c>
      <c r="B21" s="137" t="s">
        <v>172</v>
      </c>
      <c r="C21" s="147">
        <v>1300000</v>
      </c>
    </row>
    <row r="22" spans="1:3" ht="19.5" customHeight="1" x14ac:dyDescent="0.2">
      <c r="A22" s="133">
        <v>21</v>
      </c>
      <c r="B22" s="137" t="s">
        <v>79</v>
      </c>
      <c r="C22" s="147">
        <v>1300000</v>
      </c>
    </row>
    <row r="23" spans="1:3" ht="19.5" customHeight="1" x14ac:dyDescent="0.2">
      <c r="A23" s="133">
        <v>22</v>
      </c>
      <c r="B23" s="137" t="s">
        <v>77</v>
      </c>
      <c r="C23" s="147">
        <v>1300000</v>
      </c>
    </row>
    <row r="24" spans="1:3" ht="19.5" customHeight="1" x14ac:dyDescent="0.2">
      <c r="A24" s="133">
        <v>23</v>
      </c>
      <c r="B24" s="137" t="s">
        <v>59</v>
      </c>
      <c r="C24" s="147">
        <v>1200000</v>
      </c>
    </row>
    <row r="25" spans="1:3" ht="19.5" customHeight="1" x14ac:dyDescent="0.2">
      <c r="A25" s="133">
        <v>24</v>
      </c>
      <c r="B25" s="137" t="s">
        <v>187</v>
      </c>
      <c r="C25" s="147">
        <v>1200000</v>
      </c>
    </row>
    <row r="26" spans="1:3" ht="19.5" customHeight="1" x14ac:dyDescent="0.2">
      <c r="A26" s="133">
        <v>25</v>
      </c>
      <c r="B26" s="137" t="s">
        <v>145</v>
      </c>
      <c r="C26" s="147">
        <v>1150000</v>
      </c>
    </row>
    <row r="27" spans="1:3" ht="19.5" customHeight="1" x14ac:dyDescent="0.2">
      <c r="A27" s="133">
        <v>26</v>
      </c>
      <c r="B27" s="137" t="s">
        <v>93</v>
      </c>
      <c r="C27" s="147">
        <v>1350000</v>
      </c>
    </row>
    <row r="28" spans="1:3" ht="19.5" customHeight="1" x14ac:dyDescent="0.2">
      <c r="A28" s="133">
        <v>27</v>
      </c>
      <c r="B28" s="137" t="s">
        <v>210</v>
      </c>
      <c r="C28" s="147">
        <v>1250000</v>
      </c>
    </row>
    <row r="29" spans="1:3" ht="19.5" customHeight="1" x14ac:dyDescent="0.2">
      <c r="A29" s="133">
        <v>28</v>
      </c>
      <c r="B29" s="137" t="s">
        <v>100</v>
      </c>
      <c r="C29" s="147">
        <v>1250000</v>
      </c>
    </row>
    <row r="30" spans="1:3" ht="19.5" customHeight="1" x14ac:dyDescent="0.2">
      <c r="A30" s="133">
        <v>29</v>
      </c>
      <c r="B30" s="137" t="s">
        <v>38</v>
      </c>
      <c r="C30" s="147">
        <v>500000</v>
      </c>
    </row>
    <row r="31" spans="1:3" ht="19.5" customHeight="1" x14ac:dyDescent="0.2">
      <c r="A31" s="133">
        <v>30</v>
      </c>
      <c r="B31" s="137" t="s">
        <v>5</v>
      </c>
      <c r="C31" s="147">
        <v>1100000</v>
      </c>
    </row>
    <row r="32" spans="1:3" ht="19.5" customHeight="1" x14ac:dyDescent="0.2">
      <c r="A32" s="133">
        <v>31</v>
      </c>
      <c r="B32" s="137" t="s">
        <v>170</v>
      </c>
      <c r="C32" s="147">
        <v>1100000</v>
      </c>
    </row>
    <row r="33" spans="1:3" ht="19.5" customHeight="1" x14ac:dyDescent="0.2">
      <c r="A33" s="133">
        <v>32</v>
      </c>
      <c r="B33" s="137" t="s">
        <v>113</v>
      </c>
      <c r="C33" s="147">
        <v>1050000</v>
      </c>
    </row>
    <row r="34" spans="1:3" ht="19.5" customHeight="1" x14ac:dyDescent="0.2">
      <c r="A34" s="133">
        <v>33</v>
      </c>
      <c r="B34" s="137" t="s">
        <v>71</v>
      </c>
      <c r="C34" s="147">
        <v>1600000</v>
      </c>
    </row>
    <row r="35" spans="1:3" ht="19.5" customHeight="1" x14ac:dyDescent="0.2">
      <c r="A35" s="133">
        <v>34</v>
      </c>
      <c r="B35" s="137" t="s">
        <v>39</v>
      </c>
      <c r="C35" s="147">
        <v>1000000</v>
      </c>
    </row>
    <row r="36" spans="1:3" ht="19.5" customHeight="1" x14ac:dyDescent="0.2">
      <c r="A36" s="133">
        <v>35</v>
      </c>
      <c r="B36" s="137" t="s">
        <v>188</v>
      </c>
      <c r="C36" s="147">
        <v>1100000</v>
      </c>
    </row>
    <row r="37" spans="1:3" ht="19.5" customHeight="1" x14ac:dyDescent="0.2">
      <c r="A37" s="133">
        <v>36</v>
      </c>
      <c r="B37" s="137" t="s">
        <v>121</v>
      </c>
      <c r="C37" s="147">
        <v>1000000</v>
      </c>
    </row>
    <row r="38" spans="1:3" ht="19.5" customHeight="1" x14ac:dyDescent="0.2">
      <c r="A38" s="133">
        <v>37</v>
      </c>
      <c r="B38" s="137" t="s">
        <v>3</v>
      </c>
      <c r="C38" s="147">
        <v>1100000</v>
      </c>
    </row>
    <row r="39" spans="1:3" ht="19.5" customHeight="1" x14ac:dyDescent="0.2">
      <c r="A39" s="133">
        <v>38</v>
      </c>
      <c r="B39" s="137" t="s">
        <v>102</v>
      </c>
      <c r="C39" s="147">
        <v>1100000</v>
      </c>
    </row>
    <row r="40" spans="1:3" ht="19.5" customHeight="1" x14ac:dyDescent="0.2">
      <c r="A40" s="133">
        <v>39</v>
      </c>
      <c r="B40" s="137" t="s">
        <v>110</v>
      </c>
      <c r="C40" s="147">
        <v>1100000</v>
      </c>
    </row>
    <row r="41" spans="1:3" ht="19.5" customHeight="1" x14ac:dyDescent="0.2">
      <c r="A41" s="133">
        <v>40</v>
      </c>
      <c r="B41" s="137" t="s">
        <v>1</v>
      </c>
      <c r="C41" s="147">
        <v>1100000</v>
      </c>
    </row>
    <row r="42" spans="1:3" ht="19.5" customHeight="1" x14ac:dyDescent="0.2">
      <c r="A42" s="133">
        <v>41</v>
      </c>
      <c r="B42" s="137" t="s">
        <v>91</v>
      </c>
      <c r="C42" s="147">
        <v>1000000</v>
      </c>
    </row>
    <row r="43" spans="1:3" ht="19.5" customHeight="1" x14ac:dyDescent="0.2">
      <c r="A43" s="133">
        <v>42</v>
      </c>
      <c r="B43" s="137" t="s">
        <v>230</v>
      </c>
      <c r="C43" s="147">
        <v>1000000</v>
      </c>
    </row>
    <row r="44" spans="1:3" ht="19.5" customHeight="1" x14ac:dyDescent="0.2">
      <c r="A44" s="133">
        <v>43</v>
      </c>
      <c r="B44" s="137" t="s">
        <v>95</v>
      </c>
      <c r="C44" s="147">
        <v>950000</v>
      </c>
    </row>
    <row r="45" spans="1:3" ht="19.5" customHeight="1" x14ac:dyDescent="0.2">
      <c r="A45" s="133">
        <v>44</v>
      </c>
      <c r="B45" s="137" t="s">
        <v>211</v>
      </c>
      <c r="C45" s="147">
        <v>950000</v>
      </c>
    </row>
    <row r="46" spans="1:3" ht="19.5" customHeight="1" x14ac:dyDescent="0.2">
      <c r="A46" s="133">
        <v>45</v>
      </c>
      <c r="B46" s="137" t="s">
        <v>104</v>
      </c>
      <c r="C46" s="147">
        <v>900000</v>
      </c>
    </row>
    <row r="47" spans="1:3" ht="19.5" customHeight="1" x14ac:dyDescent="0.2">
      <c r="A47" s="133">
        <v>46</v>
      </c>
      <c r="B47" s="137" t="s">
        <v>242</v>
      </c>
      <c r="C47" s="147">
        <v>900000</v>
      </c>
    </row>
    <row r="48" spans="1:3" ht="19.5" customHeight="1" x14ac:dyDescent="0.2">
      <c r="A48" s="133">
        <v>47</v>
      </c>
      <c r="B48" s="137" t="s">
        <v>73</v>
      </c>
      <c r="C48" s="147">
        <v>1000000</v>
      </c>
    </row>
    <row r="49" spans="1:3" ht="19.5" customHeight="1" x14ac:dyDescent="0.2">
      <c r="A49" s="133">
        <v>48</v>
      </c>
      <c r="B49" s="137" t="s">
        <v>99</v>
      </c>
      <c r="C49" s="147">
        <v>950000</v>
      </c>
    </row>
    <row r="50" spans="1:3" ht="19.5" customHeight="1" x14ac:dyDescent="0.2">
      <c r="A50" s="133">
        <v>49</v>
      </c>
      <c r="B50" s="137" t="s">
        <v>97</v>
      </c>
      <c r="C50" s="147">
        <v>800000</v>
      </c>
    </row>
    <row r="51" spans="1:3" ht="19.5" customHeight="1" x14ac:dyDescent="0.2">
      <c r="A51" s="133">
        <v>50</v>
      </c>
      <c r="B51" s="137" t="s">
        <v>247</v>
      </c>
      <c r="C51" s="147">
        <v>900000</v>
      </c>
    </row>
    <row r="52" spans="1:3" ht="19.5" customHeight="1" x14ac:dyDescent="0.2">
      <c r="A52" s="133">
        <v>51</v>
      </c>
      <c r="B52" s="137" t="s">
        <v>115</v>
      </c>
      <c r="C52" s="147">
        <v>800000</v>
      </c>
    </row>
    <row r="53" spans="1:3" ht="19.5" customHeight="1" x14ac:dyDescent="0.2">
      <c r="A53" s="133">
        <v>52</v>
      </c>
      <c r="B53" s="137" t="s">
        <v>108</v>
      </c>
      <c r="C53" s="147">
        <v>850000</v>
      </c>
    </row>
    <row r="54" spans="1:3" ht="19.5" customHeight="1" x14ac:dyDescent="0.2">
      <c r="A54" s="133">
        <v>53</v>
      </c>
      <c r="B54" s="137" t="s">
        <v>248</v>
      </c>
      <c r="C54" s="147">
        <v>900000</v>
      </c>
    </row>
    <row r="55" spans="1:3" ht="19.5" customHeight="1" x14ac:dyDescent="0.2">
      <c r="A55" s="133">
        <v>54</v>
      </c>
      <c r="B55" s="137" t="s">
        <v>239</v>
      </c>
      <c r="C55" s="147">
        <v>950000</v>
      </c>
    </row>
    <row r="56" spans="1:3" ht="19.5" customHeight="1" x14ac:dyDescent="0.2">
      <c r="A56" s="133">
        <v>55</v>
      </c>
      <c r="B56" s="137" t="s">
        <v>86</v>
      </c>
      <c r="C56" s="147">
        <v>750000</v>
      </c>
    </row>
    <row r="57" spans="1:3" ht="19.5" customHeight="1" x14ac:dyDescent="0.2">
      <c r="A57" s="133">
        <v>56</v>
      </c>
      <c r="B57" s="137" t="s">
        <v>228</v>
      </c>
      <c r="C57" s="147">
        <v>800000</v>
      </c>
    </row>
    <row r="58" spans="1:3" ht="19.5" customHeight="1" x14ac:dyDescent="0.2">
      <c r="A58" s="133">
        <v>57</v>
      </c>
      <c r="B58" s="137" t="s">
        <v>143</v>
      </c>
      <c r="C58" s="147">
        <v>750000</v>
      </c>
    </row>
    <row r="59" spans="1:3" ht="19.5" customHeight="1" x14ac:dyDescent="0.2">
      <c r="A59" s="133">
        <v>58</v>
      </c>
      <c r="B59" s="137" t="s">
        <v>197</v>
      </c>
      <c r="C59" s="147">
        <v>700000</v>
      </c>
    </row>
    <row r="60" spans="1:3" ht="19.5" customHeight="1" x14ac:dyDescent="0.2">
      <c r="A60" s="133">
        <v>59</v>
      </c>
      <c r="B60" s="137" t="s">
        <v>51</v>
      </c>
      <c r="C60" s="147">
        <v>700000</v>
      </c>
    </row>
    <row r="61" spans="1:3" ht="19.5" customHeight="1" x14ac:dyDescent="0.2">
      <c r="A61" s="133">
        <v>60</v>
      </c>
      <c r="B61" s="137" t="s">
        <v>40</v>
      </c>
      <c r="C61" s="147">
        <v>700000</v>
      </c>
    </row>
    <row r="62" spans="1:3" ht="19.5" customHeight="1" x14ac:dyDescent="0.2">
      <c r="A62" s="133">
        <v>61</v>
      </c>
      <c r="B62" s="137" t="s">
        <v>106</v>
      </c>
      <c r="C62" s="147">
        <v>650000</v>
      </c>
    </row>
    <row r="63" spans="1:3" ht="19.5" customHeight="1" x14ac:dyDescent="0.2">
      <c r="A63" s="133">
        <v>62</v>
      </c>
      <c r="B63" s="137" t="s">
        <v>118</v>
      </c>
      <c r="C63" s="147">
        <v>650000</v>
      </c>
    </row>
    <row r="64" spans="1:3" ht="19.5" customHeight="1" x14ac:dyDescent="0.2">
      <c r="A64" s="133">
        <v>63</v>
      </c>
      <c r="B64" s="137" t="s">
        <v>131</v>
      </c>
      <c r="C64" s="147">
        <v>550000</v>
      </c>
    </row>
    <row r="65" spans="1:3" ht="19.5" customHeight="1" x14ac:dyDescent="0.2">
      <c r="A65" s="133">
        <v>64</v>
      </c>
      <c r="B65" s="137" t="s">
        <v>184</v>
      </c>
      <c r="C65" s="147">
        <v>650000</v>
      </c>
    </row>
    <row r="66" spans="1:3" ht="19.5" customHeight="1" x14ac:dyDescent="0.2">
      <c r="A66" s="133">
        <v>65</v>
      </c>
      <c r="B66" s="138" t="s">
        <v>196</v>
      </c>
      <c r="C66" s="147">
        <v>650000</v>
      </c>
    </row>
    <row r="67" spans="1:3" ht="19" customHeight="1" x14ac:dyDescent="0.2">
      <c r="A67" s="133">
        <v>66</v>
      </c>
      <c r="B67" s="137" t="s">
        <v>124</v>
      </c>
      <c r="C67" s="147">
        <v>650000</v>
      </c>
    </row>
    <row r="68" spans="1:3" ht="15.75" customHeight="1" x14ac:dyDescent="0.2">
      <c r="A68" s="133">
        <v>67</v>
      </c>
      <c r="B68" s="137" t="s">
        <v>190</v>
      </c>
      <c r="C68" s="147">
        <v>700000</v>
      </c>
    </row>
    <row r="69" spans="1:3" ht="15.75" customHeight="1" x14ac:dyDescent="0.2">
      <c r="A69" s="133">
        <v>68</v>
      </c>
      <c r="B69" s="137" t="s">
        <v>128</v>
      </c>
      <c r="C69" s="147">
        <v>600000</v>
      </c>
    </row>
    <row r="70" spans="1:3" ht="15.75" customHeight="1" x14ac:dyDescent="0.2">
      <c r="A70" s="133">
        <v>69</v>
      </c>
      <c r="B70" s="137" t="s">
        <v>126</v>
      </c>
      <c r="C70" s="147">
        <v>650000</v>
      </c>
    </row>
    <row r="71" spans="1:3" ht="15.75" customHeight="1" x14ac:dyDescent="0.2">
      <c r="A71" s="133">
        <v>70</v>
      </c>
      <c r="B71" s="137" t="s">
        <v>165</v>
      </c>
      <c r="C71" s="147">
        <v>550000</v>
      </c>
    </row>
    <row r="72" spans="1:3" ht="15.75" customHeight="1" x14ac:dyDescent="0.2">
      <c r="A72" s="133">
        <v>71</v>
      </c>
      <c r="B72" s="137" t="s">
        <v>152</v>
      </c>
      <c r="C72" s="147">
        <v>550000</v>
      </c>
    </row>
    <row r="73" spans="1:3" ht="15.75" customHeight="1" x14ac:dyDescent="0.2">
      <c r="A73" s="133">
        <v>72</v>
      </c>
      <c r="B73" s="137" t="s">
        <v>37</v>
      </c>
      <c r="C73" s="147">
        <v>500000</v>
      </c>
    </row>
    <row r="74" spans="1:3" ht="15.75" customHeight="1" x14ac:dyDescent="0.2">
      <c r="A74" s="133">
        <v>73</v>
      </c>
      <c r="B74" s="137" t="s">
        <v>226</v>
      </c>
      <c r="C74" s="147">
        <v>450000</v>
      </c>
    </row>
    <row r="75" spans="1:3" ht="15.75" customHeight="1" x14ac:dyDescent="0.2">
      <c r="A75" s="133">
        <v>74</v>
      </c>
      <c r="B75" s="137" t="s">
        <v>198</v>
      </c>
      <c r="C75" s="147">
        <v>400000</v>
      </c>
    </row>
    <row r="76" spans="1:3" ht="15.75" customHeight="1" x14ac:dyDescent="0.2">
      <c r="A76" s="133">
        <v>75</v>
      </c>
      <c r="B76" s="137" t="s">
        <v>229</v>
      </c>
      <c r="C76" s="147">
        <v>400000</v>
      </c>
    </row>
    <row r="77" spans="1:3" ht="15.75" customHeight="1" x14ac:dyDescent="0.2">
      <c r="A77" s="133">
        <v>76</v>
      </c>
      <c r="B77" s="137" t="s">
        <v>241</v>
      </c>
      <c r="C77" s="147">
        <v>500000</v>
      </c>
    </row>
    <row r="78" spans="1:3" ht="15.75" customHeight="1" x14ac:dyDescent="0.2">
      <c r="A78" s="133">
        <v>77</v>
      </c>
      <c r="B78" s="137" t="s">
        <v>36</v>
      </c>
      <c r="C78" s="147">
        <v>500000</v>
      </c>
    </row>
    <row r="79" spans="1:3" ht="15.75" customHeight="1" x14ac:dyDescent="0.2">
      <c r="A79" s="133">
        <v>78</v>
      </c>
      <c r="B79" s="137" t="s">
        <v>6</v>
      </c>
      <c r="C79" s="147">
        <v>300000</v>
      </c>
    </row>
    <row r="80" spans="1:3" ht="15.75" customHeight="1" x14ac:dyDescent="0.2">
      <c r="A80" s="133">
        <v>79</v>
      </c>
      <c r="B80" s="137" t="s">
        <v>7</v>
      </c>
      <c r="C80" s="147">
        <v>250000</v>
      </c>
    </row>
    <row r="81" spans="1:3" ht="15.75" customHeight="1" x14ac:dyDescent="0.2">
      <c r="A81" s="133">
        <v>80</v>
      </c>
      <c r="B81" s="137" t="s">
        <v>279</v>
      </c>
      <c r="C81" s="147">
        <v>1000000</v>
      </c>
    </row>
    <row r="82" spans="1:3" ht="15.75" customHeight="1" x14ac:dyDescent="0.2">
      <c r="A82" s="133">
        <v>81</v>
      </c>
      <c r="B82" s="137" t="s">
        <v>288</v>
      </c>
      <c r="C82" s="147">
        <v>1000000</v>
      </c>
    </row>
    <row r="83" spans="1:3" ht="15.75" customHeight="1" x14ac:dyDescent="0.2">
      <c r="A83" s="133">
        <v>82</v>
      </c>
      <c r="B83" s="137" t="s">
        <v>326</v>
      </c>
      <c r="C83" s="147">
        <v>1000000</v>
      </c>
    </row>
    <row r="84" spans="1:3" ht="15.75" customHeight="1" x14ac:dyDescent="0.2">
      <c r="A84" s="133">
        <v>83</v>
      </c>
      <c r="B84" s="137" t="s">
        <v>327</v>
      </c>
      <c r="C84" s="147">
        <v>1000000</v>
      </c>
    </row>
    <row r="85" spans="1:3" ht="15.75" customHeight="1" x14ac:dyDescent="0.15"/>
    <row r="86" spans="1:3" ht="15.75" customHeight="1" x14ac:dyDescent="0.15"/>
    <row r="87" spans="1:3" ht="15.75" customHeight="1" x14ac:dyDescent="0.15"/>
    <row r="88" spans="1:3" ht="15.75" customHeight="1" x14ac:dyDescent="0.15"/>
    <row r="89" spans="1:3" ht="15.75" customHeight="1" x14ac:dyDescent="0.15"/>
    <row r="90" spans="1:3" ht="15.75" customHeight="1" x14ac:dyDescent="0.15"/>
    <row r="91" spans="1:3" ht="15.75" customHeight="1" x14ac:dyDescent="0.15"/>
    <row r="92" spans="1:3" ht="15.75" customHeight="1" x14ac:dyDescent="0.15"/>
    <row r="93" spans="1:3" ht="15.75" customHeight="1" x14ac:dyDescent="0.15"/>
    <row r="94" spans="1:3" ht="15.75" customHeight="1" x14ac:dyDescent="0.15"/>
    <row r="95" spans="1:3" ht="15.75" customHeight="1" x14ac:dyDescent="0.15"/>
    <row r="96" spans="1:3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5</vt:i4>
      </vt:variant>
    </vt:vector>
  </HeadingPairs>
  <TitlesOfParts>
    <vt:vector size="5" baseType="lpstr">
      <vt:lpstr>ยอดขายปีที่แล้ว</vt:lpstr>
      <vt:lpstr>ยอดขายเดือนที่เแล้ว</vt:lpstr>
      <vt:lpstr>ยอดขายปัจจุบัน</vt:lpstr>
      <vt:lpstr>Report</vt:lpstr>
      <vt:lpstr>Target ปี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Manager</dc:creator>
  <cp:lastModifiedBy>BEN Area manager</cp:lastModifiedBy>
  <dcterms:created xsi:type="dcterms:W3CDTF">2024-02-28T08:07:27Z</dcterms:created>
  <dcterms:modified xsi:type="dcterms:W3CDTF">2026-04-10T06:54:11Z</dcterms:modified>
</cp:coreProperties>
</file>